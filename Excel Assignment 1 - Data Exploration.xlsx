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hith\Downloads\"/>
    </mc:Choice>
  </mc:AlternateContent>
  <xr:revisionPtr revIDLastSave="0" documentId="13_ncr:1_{398A3B12-2507-4F63-A111-28C3CE9F4C6E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Instructions" sheetId="1" r:id="rId1"/>
    <sheet name="Dataset" sheetId="2" r:id="rId2"/>
    <sheet name="SUM,AVERAGE,COUNT" sheetId="3" r:id="rId3"/>
    <sheet name="MIN,MAX" sheetId="4" r:id="rId4"/>
    <sheet name="IF FUNCTION" sheetId="5" r:id="rId5"/>
    <sheet name="SUMIF,COUNTIF" sheetId="6" r:id="rId6"/>
    <sheet name="TEXT FORMATING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xxdYPntQl+bO0ka4qHfhA4BnM4OowOuFpS2wlv4H/kM="/>
    </ext>
  </extLst>
</workbook>
</file>

<file path=xl/calcChain.xml><?xml version="1.0" encoding="utf-8"?>
<calcChain xmlns="http://schemas.openxmlformats.org/spreadsheetml/2006/main">
  <c r="J10" i="3" l="1"/>
  <c r="J12" i="3"/>
  <c r="J11" i="3"/>
  <c r="N11" i="6"/>
  <c r="I2" i="7" a="1"/>
  <c r="I2" i="7" s="1"/>
  <c r="H2" i="7" a="1"/>
  <c r="H2" i="7" s="1"/>
  <c r="G2" i="7" a="1"/>
  <c r="G2" i="7" s="1"/>
  <c r="N13" i="6"/>
  <c r="G35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2" i="5"/>
  <c r="N5" i="4"/>
  <c r="N3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<sst xmlns="http://schemas.openxmlformats.org/spreadsheetml/2006/main" count="880" uniqueCount="121">
  <si>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</si>
  <si>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</si>
  <si>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</si>
  <si>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</si>
  <si>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</si>
  <si>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</si>
  <si>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</si>
  <si>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</si>
  <si>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</si>
  <si>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</si>
  <si>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</si>
  <si>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</si>
  <si>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</si>
  <si>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</si>
  <si>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</si>
  <si>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</si>
  <si>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</si>
  <si>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</si>
  <si>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</si>
  <si>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</si>
  <si>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</si>
  <si>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</si>
  <si>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</si>
  <si>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</si>
  <si>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</si>
  <si>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</si>
  <si>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</si>
  <si>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</si>
  <si>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</si>
  <si>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</si>
  <si>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</si>
  <si>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</si>
  <si>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</si>
  <si>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</si>
  <si>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</si>
  <si>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</si>
  <si>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</si>
  <si>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</si>
  <si>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</si>
  <si>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</si>
  <si>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</si>
  <si>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</si>
  <si>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</si>
  <si>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</si>
  <si>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</si>
  <si>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</si>
  <si>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</si>
  <si>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</si>
  <si>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</si>
  <si>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</si>
  <si>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</si>
  <si>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</si>
  <si>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</si>
  <si>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</si>
  <si>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</si>
  <si>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</si>
  <si>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</si>
  <si>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</si>
  <si>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</si>
  <si>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</si>
  <si>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</si>
  <si>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</si>
  <si>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</si>
  <si>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</si>
  <si>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</si>
  <si>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</si>
  <si>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</si>
  <si>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</si>
  <si>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</si>
  <si>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</si>
  <si>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</si>
  <si>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</si>
  <si>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</si>
  <si>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</si>
  <si>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</si>
  <si>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</si>
  <si>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</si>
  <si>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</si>
  <si>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</si>
  <si>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</si>
  <si>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</si>
  <si>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</si>
  <si>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</si>
  <si>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</si>
  <si>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</si>
  <si>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</si>
  <si>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</si>
  <si>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</si>
  <si>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</si>
  <si>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</si>
  <si>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</si>
  <si>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</si>
  <si>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</si>
  <si>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</si>
  <si>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</si>
  <si>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</si>
  <si>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</si>
  <si>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</si>
  <si>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</si>
  <si>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</si>
  <si>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</si>
  <si>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</si>
  <si>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</si>
  <si>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</si>
  <si>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</si>
  <si>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</si>
  <si>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</si>
  <si>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</si>
  <si>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</si>
  <si>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</si>
  <si>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MAXIMUM PRICE AMONG ALL  THE PRODUCT</t>
  </si>
  <si>
    <t>MINIMUM PRICE AMONG ALL THE PRODUCTS</t>
  </si>
  <si>
    <t xml:space="preserve">Price Range </t>
  </si>
  <si>
    <t>TOTAL PRICE OF THE PRODUCT ELECTRONICS</t>
  </si>
  <si>
    <t>COUNT OF PRODUCT WITH PRICE LESS THAN 100</t>
  </si>
  <si>
    <t>DAY</t>
  </si>
  <si>
    <t>COUNTRY CODE</t>
  </si>
  <si>
    <t>MONTH</t>
  </si>
  <si>
    <t xml:space="preserve"> How many products are there in the dataset</t>
  </si>
  <si>
    <t xml:space="preserve"> Total price of all products </t>
  </si>
  <si>
    <t xml:space="preserve"> Average price of the products.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</si>
</sst>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8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1"/>
      <color rgb="FFFA7D00"/>
      <name val="Arial"/>
      <family val="2"/>
      <scheme val="minor"/>
    </font>
    <font>
      <b/>
      <sz val="10"/>
      <color rgb="FFFA7D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5" borderId="1" applyNumberFormat="0" applyAlignment="0" applyProtection="0"/>
  </cellStyleXfs>
  <cellXfs count="22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0" fontId="6" fillId="4" borderId="0" xfId="0" applyFont="1" applyFill="1" applyAlignment="1"/>
    <xf numFmtId="0" fontId="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9" fillId="0" borderId="0" xfId="0" applyFont="1" applyAlignment="1"/>
    <xf numFmtId="0" fontId="0" fillId="6" borderId="2" xfId="0" applyFont="1" applyFill="1" applyBorder="1" applyAlignment="1"/>
    <xf numFmtId="0" fontId="7" fillId="6" borderId="2" xfId="0" applyFont="1" applyFill="1" applyBorder="1" applyAlignment="1">
      <alignment horizontal="center"/>
    </xf>
    <xf numFmtId="0" fontId="11" fillId="5" borderId="1" xfId="1" applyAlignment="1"/>
    <xf numFmtId="0" fontId="12" fillId="5" borderId="1" xfId="1" applyFont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0" fillId="7" borderId="2" xfId="0" applyFont="1" applyFill="1" applyBorder="1" applyAlignment="1"/>
    <xf numFmtId="0" fontId="9" fillId="7" borderId="2" xfId="0" applyFont="1" applyFill="1" applyBorder="1" applyAlignment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2" workbookViewId="0">
      <selection activeCell="C6" sqref="C6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sqref="A1:F35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</cols>
  <sheetData>
    <row r="1" spans="1:7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8"/>
    </row>
    <row r="3" spans="1:7" ht="15.75" customHeight="1" x14ac:dyDescent="0.2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9" t="s">
        <v>30</v>
      </c>
      <c r="G3" s="8"/>
    </row>
    <row r="4" spans="1:7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8"/>
    </row>
    <row r="5" spans="1:7" ht="15.75" customHeight="1" x14ac:dyDescent="0.2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9" t="s">
        <v>26</v>
      </c>
      <c r="G5" s="8"/>
    </row>
    <row r="6" spans="1:7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8"/>
    </row>
    <row r="7" spans="1:7" ht="15.75" customHeight="1" x14ac:dyDescent="0.2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9" t="s">
        <v>26</v>
      </c>
      <c r="G7" s="8"/>
    </row>
    <row r="8" spans="1:7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8"/>
    </row>
    <row r="9" spans="1:7" ht="15.75" customHeight="1" x14ac:dyDescent="0.2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9" t="s">
        <v>34</v>
      </c>
      <c r="G9" s="8"/>
    </row>
    <row r="10" spans="1:7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8"/>
    </row>
    <row r="11" spans="1:7" ht="15.75" customHeight="1" x14ac:dyDescent="0.2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9" t="s">
        <v>41</v>
      </c>
      <c r="G11" s="8"/>
    </row>
    <row r="12" spans="1:7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8"/>
    </row>
    <row r="13" spans="1:7" ht="15.75" customHeight="1" x14ac:dyDescent="0.2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9" t="s">
        <v>30</v>
      </c>
      <c r="G13" s="8"/>
    </row>
    <row r="14" spans="1:7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8"/>
    </row>
    <row r="15" spans="1:7" ht="15.75" customHeight="1" x14ac:dyDescent="0.2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9" t="s">
        <v>26</v>
      </c>
      <c r="G15" s="8"/>
    </row>
    <row r="16" spans="1:7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8"/>
    </row>
    <row r="17" spans="1:7" ht="15.75" customHeight="1" x14ac:dyDescent="0.2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9" t="s">
        <v>70</v>
      </c>
      <c r="G17" s="8"/>
    </row>
    <row r="18" spans="1:7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8"/>
    </row>
    <row r="19" spans="1:7" ht="15.75" customHeight="1" x14ac:dyDescent="0.2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9" t="s">
        <v>26</v>
      </c>
      <c r="G19" s="8"/>
    </row>
    <row r="20" spans="1:7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8"/>
    </row>
    <row r="21" spans="1:7" ht="15.75" customHeight="1" x14ac:dyDescent="0.2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9" t="s">
        <v>41</v>
      </c>
      <c r="G21" s="8"/>
    </row>
    <row r="22" spans="1:7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8"/>
    </row>
    <row r="23" spans="1:7" ht="15.75" customHeight="1" x14ac:dyDescent="0.2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9" t="s">
        <v>34</v>
      </c>
      <c r="G23" s="8"/>
    </row>
    <row r="24" spans="1:7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8"/>
    </row>
    <row r="25" spans="1:7" ht="15.75" customHeight="1" x14ac:dyDescent="0.2">
      <c r="A25" s="9" t="s">
        <v>67</v>
      </c>
      <c r="B25" s="9" t="s">
        <v>68</v>
      </c>
      <c r="C25" s="9" t="s">
        <v>69</v>
      </c>
      <c r="D25" s="9">
        <v>50</v>
      </c>
      <c r="E25" s="9">
        <v>35</v>
      </c>
      <c r="F25" s="9" t="s">
        <v>70</v>
      </c>
      <c r="G25" s="10"/>
    </row>
    <row r="26" spans="1:7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8"/>
    </row>
    <row r="27" spans="1:7" ht="15.75" customHeight="1" x14ac:dyDescent="0.2">
      <c r="A27" s="9" t="s">
        <v>92</v>
      </c>
      <c r="B27" s="9" t="s">
        <v>76</v>
      </c>
      <c r="C27" s="9" t="s">
        <v>93</v>
      </c>
      <c r="D27" s="9">
        <v>130</v>
      </c>
      <c r="E27" s="9">
        <v>25</v>
      </c>
      <c r="F27" s="9" t="s">
        <v>30</v>
      </c>
      <c r="G27" s="8"/>
    </row>
    <row r="28" spans="1:7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8"/>
    </row>
    <row r="29" spans="1:7" ht="15.75" customHeight="1" x14ac:dyDescent="0.2">
      <c r="A29" s="9" t="s">
        <v>65</v>
      </c>
      <c r="B29" s="9" t="s">
        <v>43</v>
      </c>
      <c r="C29" s="9" t="s">
        <v>66</v>
      </c>
      <c r="D29" s="9">
        <v>230</v>
      </c>
      <c r="E29" s="9">
        <v>20</v>
      </c>
      <c r="F29" s="9" t="s">
        <v>26</v>
      </c>
      <c r="G29" s="10"/>
    </row>
    <row r="30" spans="1:7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8"/>
    </row>
    <row r="31" spans="1:7" ht="15.75" customHeight="1" x14ac:dyDescent="0.2">
      <c r="A31" s="9" t="s">
        <v>99</v>
      </c>
      <c r="B31" s="9" t="s">
        <v>100</v>
      </c>
      <c r="C31" s="9" t="s">
        <v>101</v>
      </c>
      <c r="D31" s="9">
        <v>40</v>
      </c>
      <c r="E31" s="9">
        <v>10</v>
      </c>
      <c r="F31" s="9" t="s">
        <v>34</v>
      </c>
      <c r="G31" s="8"/>
    </row>
    <row r="32" spans="1:7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8"/>
    </row>
    <row r="33" spans="1:7" ht="15.75" customHeight="1" x14ac:dyDescent="0.2">
      <c r="A33" s="9" t="s">
        <v>104</v>
      </c>
      <c r="B33" s="9" t="s">
        <v>105</v>
      </c>
      <c r="C33" s="9" t="s">
        <v>106</v>
      </c>
      <c r="D33" s="9">
        <v>50</v>
      </c>
      <c r="E33" s="9">
        <v>50</v>
      </c>
      <c r="F33" s="9" t="s">
        <v>30</v>
      </c>
      <c r="G33" s="8"/>
    </row>
    <row r="34" spans="1:7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8"/>
    </row>
    <row r="35" spans="1:7" ht="15.75" customHeight="1" x14ac:dyDescent="0.2">
      <c r="A35" s="9" t="s">
        <v>107</v>
      </c>
      <c r="B35" s="9" t="s">
        <v>108</v>
      </c>
      <c r="C35" s="9" t="s">
        <v>109</v>
      </c>
      <c r="D35" s="9">
        <v>100</v>
      </c>
      <c r="E35" s="9">
        <v>20</v>
      </c>
      <c r="F35" s="9" t="s">
        <v>70</v>
      </c>
      <c r="G35" s="8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376DD-A264-410F-BC1D-8840F3D55CF5}">
  <dimension ref="A1:L35"/>
  <sheetViews>
    <sheetView workbookViewId="0">
      <selection activeCell="I16" sqref="I16"/>
    </sheetView>
  </sheetViews>
  <sheetFormatPr defaultRowHeight="12.75" x14ac:dyDescent="0.2"/>
  <cols>
    <col min="1" max="1" width="10.85546875" bestFit="1" customWidth="1"/>
    <col min="2" max="2" width="14" bestFit="1" customWidth="1"/>
    <col min="3" max="3" width="12.28515625" bestFit="1" customWidth="1"/>
    <col min="5" max="5" width="8.5703125" bestFit="1" customWidth="1"/>
    <col min="6" max="6" width="11.28515625" bestFit="1" customWidth="1"/>
    <col min="8" max="8" width="9.140625" customWidth="1"/>
    <col min="9" max="9" width="39.7109375" bestFit="1" customWidth="1"/>
    <col min="12" max="12" width="8.7109375" customWidth="1"/>
  </cols>
  <sheetData>
    <row r="1" spans="1:12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</row>
    <row r="2" spans="1:12" x14ac:dyDescent="0.2">
      <c r="A2" s="8" t="s">
        <v>23</v>
      </c>
      <c r="B2" s="8" t="s">
        <v>24</v>
      </c>
      <c r="C2" s="8" t="s">
        <v>25</v>
      </c>
      <c r="D2" s="8">
        <v>1000</v>
      </c>
      <c r="E2" s="8">
        <v>30</v>
      </c>
      <c r="F2" s="8" t="s">
        <v>26</v>
      </c>
    </row>
    <row r="3" spans="1:12" x14ac:dyDescent="0.2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9" t="s">
        <v>30</v>
      </c>
    </row>
    <row r="4" spans="1:12" x14ac:dyDescent="0.2">
      <c r="A4" s="8" t="s">
        <v>31</v>
      </c>
      <c r="B4" s="8" t="s">
        <v>32</v>
      </c>
      <c r="C4" s="8" t="s">
        <v>33</v>
      </c>
      <c r="D4" s="8">
        <v>130</v>
      </c>
      <c r="E4" s="8">
        <v>40</v>
      </c>
      <c r="F4" s="8" t="s">
        <v>34</v>
      </c>
    </row>
    <row r="5" spans="1:12" x14ac:dyDescent="0.2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9" t="s">
        <v>26</v>
      </c>
    </row>
    <row r="6" spans="1:12" x14ac:dyDescent="0.2">
      <c r="A6" s="8" t="s">
        <v>38</v>
      </c>
      <c r="B6" s="8" t="s">
        <v>39</v>
      </c>
      <c r="C6" s="8" t="s">
        <v>40</v>
      </c>
      <c r="D6" s="8">
        <v>70</v>
      </c>
      <c r="E6" s="8">
        <v>20</v>
      </c>
      <c r="F6" s="8" t="s">
        <v>41</v>
      </c>
      <c r="L6" s="11"/>
    </row>
    <row r="7" spans="1:12" x14ac:dyDescent="0.2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9" t="s">
        <v>26</v>
      </c>
      <c r="J7" s="11"/>
      <c r="K7" s="11"/>
      <c r="L7" s="11"/>
    </row>
    <row r="8" spans="1:12" x14ac:dyDescent="0.2">
      <c r="A8" s="8" t="s">
        <v>45</v>
      </c>
      <c r="B8" s="8" t="s">
        <v>46</v>
      </c>
      <c r="C8" s="8" t="s">
        <v>47</v>
      </c>
      <c r="D8" s="8">
        <v>30</v>
      </c>
      <c r="E8" s="8">
        <v>5</v>
      </c>
      <c r="F8" s="8" t="s">
        <v>30</v>
      </c>
    </row>
    <row r="9" spans="1:12" x14ac:dyDescent="0.2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9" t="s">
        <v>34</v>
      </c>
    </row>
    <row r="10" spans="1:12" x14ac:dyDescent="0.2">
      <c r="A10" s="8" t="s">
        <v>51</v>
      </c>
      <c r="B10" s="8" t="s">
        <v>52</v>
      </c>
      <c r="C10" s="8" t="s">
        <v>53</v>
      </c>
      <c r="D10" s="8">
        <v>500</v>
      </c>
      <c r="E10" s="8">
        <v>50</v>
      </c>
      <c r="F10" s="8" t="s">
        <v>26</v>
      </c>
      <c r="I10" s="15" t="s">
        <v>119</v>
      </c>
      <c r="J10" s="16">
        <f xml:space="preserve"> SUM(D2:D35)</f>
        <v>10100</v>
      </c>
      <c r="K10" s="12"/>
      <c r="L10" s="12"/>
    </row>
    <row r="11" spans="1:12" x14ac:dyDescent="0.2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9" t="s">
        <v>41</v>
      </c>
      <c r="I11" s="15" t="s">
        <v>118</v>
      </c>
      <c r="J11" s="15">
        <f>COUNT(D2:D35)</f>
        <v>34</v>
      </c>
    </row>
    <row r="12" spans="1:12" x14ac:dyDescent="0.2">
      <c r="A12" s="8" t="s">
        <v>57</v>
      </c>
      <c r="B12" s="8" t="s">
        <v>24</v>
      </c>
      <c r="C12" s="8" t="s">
        <v>58</v>
      </c>
      <c r="D12" s="8">
        <v>950</v>
      </c>
      <c r="E12" s="8">
        <v>25</v>
      </c>
      <c r="F12" s="8" t="s">
        <v>26</v>
      </c>
      <c r="I12" s="15" t="s">
        <v>120</v>
      </c>
      <c r="J12" s="15">
        <f>AVERAGE(D2:D35)</f>
        <v>297.05882352941177</v>
      </c>
    </row>
    <row r="13" spans="1:12" x14ac:dyDescent="0.2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9" t="s">
        <v>30</v>
      </c>
    </row>
    <row r="14" spans="1:12" x14ac:dyDescent="0.2">
      <c r="A14" s="8" t="s">
        <v>60</v>
      </c>
      <c r="B14" s="8" t="s">
        <v>32</v>
      </c>
      <c r="C14" s="8" t="s">
        <v>61</v>
      </c>
      <c r="D14" s="8">
        <v>120</v>
      </c>
      <c r="E14" s="8">
        <v>35</v>
      </c>
      <c r="F14" s="8" t="s">
        <v>34</v>
      </c>
    </row>
    <row r="15" spans="1:12" x14ac:dyDescent="0.2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9" t="s">
        <v>26</v>
      </c>
    </row>
    <row r="16" spans="1:12" x14ac:dyDescent="0.2">
      <c r="A16" s="8" t="s">
        <v>65</v>
      </c>
      <c r="B16" s="8" t="s">
        <v>43</v>
      </c>
      <c r="C16" s="8" t="s">
        <v>66</v>
      </c>
      <c r="D16" s="8">
        <v>250</v>
      </c>
      <c r="E16" s="8">
        <v>20</v>
      </c>
      <c r="F16" s="8" t="s">
        <v>26</v>
      </c>
    </row>
    <row r="17" spans="1:6" x14ac:dyDescent="0.2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9" t="s">
        <v>70</v>
      </c>
    </row>
    <row r="18" spans="1:6" x14ac:dyDescent="0.2">
      <c r="A18" s="8" t="s">
        <v>71</v>
      </c>
      <c r="B18" s="8" t="s">
        <v>63</v>
      </c>
      <c r="C18" s="8" t="s">
        <v>72</v>
      </c>
      <c r="D18" s="8">
        <v>160</v>
      </c>
      <c r="E18" s="8">
        <v>15</v>
      </c>
      <c r="F18" s="8" t="s">
        <v>26</v>
      </c>
    </row>
    <row r="19" spans="1:6" x14ac:dyDescent="0.2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9" t="s">
        <v>26</v>
      </c>
    </row>
    <row r="20" spans="1:6" x14ac:dyDescent="0.2">
      <c r="A20" s="8" t="s">
        <v>75</v>
      </c>
      <c r="B20" s="8" t="s">
        <v>76</v>
      </c>
      <c r="C20" s="8" t="s">
        <v>77</v>
      </c>
      <c r="D20" s="8">
        <v>150</v>
      </c>
      <c r="E20" s="8">
        <v>15</v>
      </c>
      <c r="F20" s="8" t="s">
        <v>30</v>
      </c>
    </row>
    <row r="21" spans="1:6" x14ac:dyDescent="0.2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9" t="s">
        <v>41</v>
      </c>
    </row>
    <row r="22" spans="1:6" x14ac:dyDescent="0.2">
      <c r="A22" s="8" t="s">
        <v>81</v>
      </c>
      <c r="B22" s="8" t="s">
        <v>82</v>
      </c>
      <c r="C22" s="8" t="s">
        <v>83</v>
      </c>
      <c r="D22" s="8">
        <v>700</v>
      </c>
      <c r="E22" s="8">
        <v>50</v>
      </c>
      <c r="F22" s="8" t="s">
        <v>26</v>
      </c>
    </row>
    <row r="23" spans="1:6" x14ac:dyDescent="0.2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9" t="s">
        <v>34</v>
      </c>
    </row>
    <row r="24" spans="1:6" x14ac:dyDescent="0.2">
      <c r="A24" s="8" t="s">
        <v>87</v>
      </c>
      <c r="B24" s="8" t="s">
        <v>88</v>
      </c>
      <c r="C24" s="8" t="s">
        <v>89</v>
      </c>
      <c r="D24" s="8">
        <v>150</v>
      </c>
      <c r="E24" s="8">
        <v>30</v>
      </c>
      <c r="F24" s="8" t="s">
        <v>26</v>
      </c>
    </row>
    <row r="25" spans="1:6" x14ac:dyDescent="0.2">
      <c r="A25" s="9" t="s">
        <v>67</v>
      </c>
      <c r="B25" s="9" t="s">
        <v>68</v>
      </c>
      <c r="C25" s="9" t="s">
        <v>69</v>
      </c>
      <c r="D25" s="9">
        <v>50</v>
      </c>
      <c r="E25" s="9">
        <v>35</v>
      </c>
      <c r="F25" s="9" t="s">
        <v>70</v>
      </c>
    </row>
    <row r="26" spans="1:6" x14ac:dyDescent="0.2">
      <c r="A26" s="8" t="s">
        <v>90</v>
      </c>
      <c r="B26" s="8" t="s">
        <v>36</v>
      </c>
      <c r="C26" s="8" t="s">
        <v>91</v>
      </c>
      <c r="D26" s="8">
        <v>800</v>
      </c>
      <c r="E26" s="8">
        <v>45</v>
      </c>
      <c r="F26" s="8" t="s">
        <v>26</v>
      </c>
    </row>
    <row r="27" spans="1:6" x14ac:dyDescent="0.2">
      <c r="A27" s="9" t="s">
        <v>92</v>
      </c>
      <c r="B27" s="9" t="s">
        <v>76</v>
      </c>
      <c r="C27" s="9" t="s">
        <v>93</v>
      </c>
      <c r="D27" s="9">
        <v>130</v>
      </c>
      <c r="E27" s="9">
        <v>25</v>
      </c>
      <c r="F27" s="9" t="s">
        <v>30</v>
      </c>
    </row>
    <row r="28" spans="1:6" x14ac:dyDescent="0.2">
      <c r="A28" s="8" t="s">
        <v>94</v>
      </c>
      <c r="B28" s="8" t="s">
        <v>49</v>
      </c>
      <c r="C28" s="8" t="s">
        <v>95</v>
      </c>
      <c r="D28" s="8">
        <v>400</v>
      </c>
      <c r="E28" s="8">
        <v>40</v>
      </c>
      <c r="F28" s="8" t="s">
        <v>34</v>
      </c>
    </row>
    <row r="29" spans="1:6" x14ac:dyDescent="0.2">
      <c r="A29" s="9" t="s">
        <v>65</v>
      </c>
      <c r="B29" s="9" t="s">
        <v>43</v>
      </c>
      <c r="C29" s="9" t="s">
        <v>66</v>
      </c>
      <c r="D29" s="9">
        <v>230</v>
      </c>
      <c r="E29" s="9">
        <v>20</v>
      </c>
      <c r="F29" s="9" t="s">
        <v>26</v>
      </c>
    </row>
    <row r="30" spans="1:6" x14ac:dyDescent="0.2">
      <c r="A30" s="8" t="s">
        <v>96</v>
      </c>
      <c r="B30" s="8" t="s">
        <v>97</v>
      </c>
      <c r="C30" s="8" t="s">
        <v>98</v>
      </c>
      <c r="D30" s="8">
        <v>60</v>
      </c>
      <c r="E30" s="8">
        <v>30</v>
      </c>
      <c r="F30" s="8" t="s">
        <v>30</v>
      </c>
    </row>
    <row r="31" spans="1:6" x14ac:dyDescent="0.2">
      <c r="A31" s="9" t="s">
        <v>99</v>
      </c>
      <c r="B31" s="9" t="s">
        <v>100</v>
      </c>
      <c r="C31" s="9" t="s">
        <v>101</v>
      </c>
      <c r="D31" s="9">
        <v>40</v>
      </c>
      <c r="E31" s="9">
        <v>10</v>
      </c>
      <c r="F31" s="9" t="s">
        <v>34</v>
      </c>
    </row>
    <row r="32" spans="1:6" x14ac:dyDescent="0.2">
      <c r="A32" s="8" t="s">
        <v>102</v>
      </c>
      <c r="B32" s="8" t="s">
        <v>88</v>
      </c>
      <c r="C32" s="8" t="s">
        <v>103</v>
      </c>
      <c r="D32" s="8">
        <v>130</v>
      </c>
      <c r="E32" s="8">
        <v>5</v>
      </c>
      <c r="F32" s="8" t="s">
        <v>26</v>
      </c>
    </row>
    <row r="33" spans="1:6" x14ac:dyDescent="0.2">
      <c r="A33" s="9" t="s">
        <v>104</v>
      </c>
      <c r="B33" s="9" t="s">
        <v>105</v>
      </c>
      <c r="C33" s="9" t="s">
        <v>106</v>
      </c>
      <c r="D33" s="9">
        <v>50</v>
      </c>
      <c r="E33" s="9">
        <v>50</v>
      </c>
      <c r="F33" s="9" t="s">
        <v>30</v>
      </c>
    </row>
    <row r="34" spans="1:6" x14ac:dyDescent="0.2">
      <c r="A34" s="8" t="s">
        <v>57</v>
      </c>
      <c r="B34" s="8" t="s">
        <v>24</v>
      </c>
      <c r="C34" s="8" t="s">
        <v>58</v>
      </c>
      <c r="D34" s="8">
        <v>950</v>
      </c>
      <c r="E34" s="8">
        <v>25</v>
      </c>
      <c r="F34" s="8" t="s">
        <v>26</v>
      </c>
    </row>
    <row r="35" spans="1:6" x14ac:dyDescent="0.2">
      <c r="A35" s="9" t="s">
        <v>107</v>
      </c>
      <c r="B35" s="9" t="s">
        <v>108</v>
      </c>
      <c r="C35" s="9" t="s">
        <v>109</v>
      </c>
      <c r="D35" s="9">
        <v>100</v>
      </c>
      <c r="E35" s="9">
        <v>20</v>
      </c>
      <c r="F35" s="9" t="s">
        <v>70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D96A6-2C40-49E1-8404-79B3C764A496}">
  <dimension ref="A1:N35"/>
  <sheetViews>
    <sheetView workbookViewId="0">
      <selection activeCell="J5" sqref="J5:M5"/>
    </sheetView>
  </sheetViews>
  <sheetFormatPr defaultRowHeight="12.75" x14ac:dyDescent="0.2"/>
  <cols>
    <col min="1" max="1" width="10.85546875" bestFit="1" customWidth="1"/>
    <col min="2" max="2" width="14" bestFit="1" customWidth="1"/>
    <col min="5" max="5" width="8.5703125" bestFit="1" customWidth="1"/>
    <col min="6" max="6" width="11.28515625" customWidth="1"/>
    <col min="13" max="13" width="19.5703125" customWidth="1"/>
  </cols>
  <sheetData>
    <row r="1" spans="1:14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</row>
    <row r="2" spans="1:14" x14ac:dyDescent="0.2">
      <c r="A2" s="8" t="s">
        <v>23</v>
      </c>
      <c r="B2" s="8" t="s">
        <v>24</v>
      </c>
      <c r="C2" s="8" t="s">
        <v>25</v>
      </c>
      <c r="D2" s="8">
        <v>1000</v>
      </c>
      <c r="E2" s="8">
        <v>30</v>
      </c>
      <c r="F2" s="8" t="s">
        <v>26</v>
      </c>
    </row>
    <row r="3" spans="1:14" ht="15" x14ac:dyDescent="0.25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9" t="s">
        <v>30</v>
      </c>
      <c r="J3" s="18" t="s">
        <v>111</v>
      </c>
      <c r="K3" s="18"/>
      <c r="L3" s="18"/>
      <c r="M3" s="18"/>
      <c r="N3" s="17">
        <f>MIN(D2:D35)</f>
        <v>30</v>
      </c>
    </row>
    <row r="4" spans="1:14" ht="15" x14ac:dyDescent="0.25">
      <c r="A4" s="8" t="s">
        <v>31</v>
      </c>
      <c r="B4" s="8" t="s">
        <v>32</v>
      </c>
      <c r="C4" s="8" t="s">
        <v>33</v>
      </c>
      <c r="D4" s="8">
        <v>130</v>
      </c>
      <c r="E4" s="8">
        <v>40</v>
      </c>
      <c r="F4" s="8" t="s">
        <v>34</v>
      </c>
      <c r="J4" s="17"/>
      <c r="K4" s="17"/>
      <c r="L4" s="17"/>
      <c r="M4" s="17"/>
      <c r="N4" s="17"/>
    </row>
    <row r="5" spans="1:14" ht="15" x14ac:dyDescent="0.25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9" t="s">
        <v>26</v>
      </c>
      <c r="J5" s="18" t="s">
        <v>110</v>
      </c>
      <c r="K5" s="18"/>
      <c r="L5" s="18"/>
      <c r="M5" s="18"/>
      <c r="N5" s="17">
        <f>MAX(D2:D35)</f>
        <v>1000</v>
      </c>
    </row>
    <row r="6" spans="1:14" x14ac:dyDescent="0.2">
      <c r="A6" s="8" t="s">
        <v>38</v>
      </c>
      <c r="B6" s="8" t="s">
        <v>39</v>
      </c>
      <c r="C6" s="8" t="s">
        <v>40</v>
      </c>
      <c r="D6" s="8">
        <v>70</v>
      </c>
      <c r="E6" s="8">
        <v>20</v>
      </c>
      <c r="F6" s="8" t="s">
        <v>41</v>
      </c>
    </row>
    <row r="7" spans="1:14" x14ac:dyDescent="0.2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9" t="s">
        <v>26</v>
      </c>
    </row>
    <row r="8" spans="1:14" x14ac:dyDescent="0.2">
      <c r="A8" s="8" t="s">
        <v>45</v>
      </c>
      <c r="B8" s="8" t="s">
        <v>46</v>
      </c>
      <c r="C8" s="8" t="s">
        <v>47</v>
      </c>
      <c r="D8" s="8">
        <v>30</v>
      </c>
      <c r="E8" s="8">
        <v>5</v>
      </c>
      <c r="F8" s="8" t="s">
        <v>30</v>
      </c>
    </row>
    <row r="9" spans="1:14" x14ac:dyDescent="0.2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9" t="s">
        <v>34</v>
      </c>
    </row>
    <row r="10" spans="1:14" x14ac:dyDescent="0.2">
      <c r="A10" s="8" t="s">
        <v>51</v>
      </c>
      <c r="B10" s="8" t="s">
        <v>52</v>
      </c>
      <c r="C10" s="8" t="s">
        <v>53</v>
      </c>
      <c r="D10" s="8">
        <v>500</v>
      </c>
      <c r="E10" s="8">
        <v>50</v>
      </c>
      <c r="F10" s="8" t="s">
        <v>26</v>
      </c>
    </row>
    <row r="11" spans="1:14" x14ac:dyDescent="0.2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9" t="s">
        <v>41</v>
      </c>
    </row>
    <row r="12" spans="1:14" x14ac:dyDescent="0.2">
      <c r="A12" s="8" t="s">
        <v>57</v>
      </c>
      <c r="B12" s="8" t="s">
        <v>24</v>
      </c>
      <c r="C12" s="8" t="s">
        <v>58</v>
      </c>
      <c r="D12" s="8">
        <v>950</v>
      </c>
      <c r="E12" s="8">
        <v>25</v>
      </c>
      <c r="F12" s="8" t="s">
        <v>26</v>
      </c>
    </row>
    <row r="13" spans="1:14" x14ac:dyDescent="0.2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9" t="s">
        <v>30</v>
      </c>
    </row>
    <row r="14" spans="1:14" x14ac:dyDescent="0.2">
      <c r="A14" s="8" t="s">
        <v>60</v>
      </c>
      <c r="B14" s="8" t="s">
        <v>32</v>
      </c>
      <c r="C14" s="8" t="s">
        <v>61</v>
      </c>
      <c r="D14" s="8">
        <v>120</v>
      </c>
      <c r="E14" s="8">
        <v>35</v>
      </c>
      <c r="F14" s="8" t="s">
        <v>34</v>
      </c>
    </row>
    <row r="15" spans="1:14" x14ac:dyDescent="0.2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9" t="s">
        <v>26</v>
      </c>
    </row>
    <row r="16" spans="1:14" x14ac:dyDescent="0.2">
      <c r="A16" s="8" t="s">
        <v>65</v>
      </c>
      <c r="B16" s="8" t="s">
        <v>43</v>
      </c>
      <c r="C16" s="8" t="s">
        <v>66</v>
      </c>
      <c r="D16" s="8">
        <v>250</v>
      </c>
      <c r="E16" s="8">
        <v>20</v>
      </c>
      <c r="F16" s="8" t="s">
        <v>26</v>
      </c>
    </row>
    <row r="17" spans="1:6" x14ac:dyDescent="0.2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9" t="s">
        <v>70</v>
      </c>
    </row>
    <row r="18" spans="1:6" x14ac:dyDescent="0.2">
      <c r="A18" s="8" t="s">
        <v>71</v>
      </c>
      <c r="B18" s="8" t="s">
        <v>63</v>
      </c>
      <c r="C18" s="8" t="s">
        <v>72</v>
      </c>
      <c r="D18" s="8">
        <v>160</v>
      </c>
      <c r="E18" s="8">
        <v>15</v>
      </c>
      <c r="F18" s="8" t="s">
        <v>26</v>
      </c>
    </row>
    <row r="19" spans="1:6" x14ac:dyDescent="0.2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9" t="s">
        <v>26</v>
      </c>
    </row>
    <row r="20" spans="1:6" x14ac:dyDescent="0.2">
      <c r="A20" s="8" t="s">
        <v>75</v>
      </c>
      <c r="B20" s="8" t="s">
        <v>76</v>
      </c>
      <c r="C20" s="8" t="s">
        <v>77</v>
      </c>
      <c r="D20" s="8">
        <v>150</v>
      </c>
      <c r="E20" s="8">
        <v>15</v>
      </c>
      <c r="F20" s="8" t="s">
        <v>30</v>
      </c>
    </row>
    <row r="21" spans="1:6" x14ac:dyDescent="0.2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9" t="s">
        <v>41</v>
      </c>
    </row>
    <row r="22" spans="1:6" x14ac:dyDescent="0.2">
      <c r="A22" s="8" t="s">
        <v>81</v>
      </c>
      <c r="B22" s="8" t="s">
        <v>82</v>
      </c>
      <c r="C22" s="8" t="s">
        <v>83</v>
      </c>
      <c r="D22" s="8">
        <v>700</v>
      </c>
      <c r="E22" s="8">
        <v>50</v>
      </c>
      <c r="F22" s="8" t="s">
        <v>26</v>
      </c>
    </row>
    <row r="23" spans="1:6" x14ac:dyDescent="0.2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9" t="s">
        <v>34</v>
      </c>
    </row>
    <row r="24" spans="1:6" x14ac:dyDescent="0.2">
      <c r="A24" s="8" t="s">
        <v>87</v>
      </c>
      <c r="B24" s="8" t="s">
        <v>88</v>
      </c>
      <c r="C24" s="8" t="s">
        <v>89</v>
      </c>
      <c r="D24" s="8">
        <v>150</v>
      </c>
      <c r="E24" s="8">
        <v>30</v>
      </c>
      <c r="F24" s="8" t="s">
        <v>26</v>
      </c>
    </row>
    <row r="25" spans="1:6" x14ac:dyDescent="0.2">
      <c r="A25" s="9" t="s">
        <v>67</v>
      </c>
      <c r="B25" s="9" t="s">
        <v>68</v>
      </c>
      <c r="C25" s="9" t="s">
        <v>69</v>
      </c>
      <c r="D25" s="9">
        <v>50</v>
      </c>
      <c r="E25" s="9">
        <v>35</v>
      </c>
      <c r="F25" s="9" t="s">
        <v>70</v>
      </c>
    </row>
    <row r="26" spans="1:6" x14ac:dyDescent="0.2">
      <c r="A26" s="8" t="s">
        <v>90</v>
      </c>
      <c r="B26" s="8" t="s">
        <v>36</v>
      </c>
      <c r="C26" s="8" t="s">
        <v>91</v>
      </c>
      <c r="D26" s="8">
        <v>800</v>
      </c>
      <c r="E26" s="8">
        <v>45</v>
      </c>
      <c r="F26" s="8" t="s">
        <v>26</v>
      </c>
    </row>
    <row r="27" spans="1:6" x14ac:dyDescent="0.2">
      <c r="A27" s="9" t="s">
        <v>92</v>
      </c>
      <c r="B27" s="9" t="s">
        <v>76</v>
      </c>
      <c r="C27" s="9" t="s">
        <v>93</v>
      </c>
      <c r="D27" s="9">
        <v>130</v>
      </c>
      <c r="E27" s="9">
        <v>25</v>
      </c>
      <c r="F27" s="9" t="s">
        <v>30</v>
      </c>
    </row>
    <row r="28" spans="1:6" x14ac:dyDescent="0.2">
      <c r="A28" s="8" t="s">
        <v>94</v>
      </c>
      <c r="B28" s="8" t="s">
        <v>49</v>
      </c>
      <c r="C28" s="8" t="s">
        <v>95</v>
      </c>
      <c r="D28" s="8">
        <v>400</v>
      </c>
      <c r="E28" s="8">
        <v>40</v>
      </c>
      <c r="F28" s="8" t="s">
        <v>34</v>
      </c>
    </row>
    <row r="29" spans="1:6" x14ac:dyDescent="0.2">
      <c r="A29" s="9" t="s">
        <v>65</v>
      </c>
      <c r="B29" s="9" t="s">
        <v>43</v>
      </c>
      <c r="C29" s="9" t="s">
        <v>66</v>
      </c>
      <c r="D29" s="9">
        <v>230</v>
      </c>
      <c r="E29" s="9">
        <v>20</v>
      </c>
      <c r="F29" s="9" t="s">
        <v>26</v>
      </c>
    </row>
    <row r="30" spans="1:6" x14ac:dyDescent="0.2">
      <c r="A30" s="8" t="s">
        <v>96</v>
      </c>
      <c r="B30" s="8" t="s">
        <v>97</v>
      </c>
      <c r="C30" s="8" t="s">
        <v>98</v>
      </c>
      <c r="D30" s="8">
        <v>60</v>
      </c>
      <c r="E30" s="8">
        <v>30</v>
      </c>
      <c r="F30" s="8" t="s">
        <v>30</v>
      </c>
    </row>
    <row r="31" spans="1:6" x14ac:dyDescent="0.2">
      <c r="A31" s="9" t="s">
        <v>99</v>
      </c>
      <c r="B31" s="9" t="s">
        <v>100</v>
      </c>
      <c r="C31" s="9" t="s">
        <v>101</v>
      </c>
      <c r="D31" s="9">
        <v>40</v>
      </c>
      <c r="E31" s="9">
        <v>10</v>
      </c>
      <c r="F31" s="9" t="s">
        <v>34</v>
      </c>
    </row>
    <row r="32" spans="1:6" x14ac:dyDescent="0.2">
      <c r="A32" s="8" t="s">
        <v>102</v>
      </c>
      <c r="B32" s="8" t="s">
        <v>88</v>
      </c>
      <c r="C32" s="8" t="s">
        <v>103</v>
      </c>
      <c r="D32" s="8">
        <v>130</v>
      </c>
      <c r="E32" s="8">
        <v>5</v>
      </c>
      <c r="F32" s="8" t="s">
        <v>26</v>
      </c>
    </row>
    <row r="33" spans="1:6" x14ac:dyDescent="0.2">
      <c r="A33" s="9" t="s">
        <v>104</v>
      </c>
      <c r="B33" s="9" t="s">
        <v>105</v>
      </c>
      <c r="C33" s="9" t="s">
        <v>106</v>
      </c>
      <c r="D33" s="9">
        <v>50</v>
      </c>
      <c r="E33" s="9">
        <v>50</v>
      </c>
      <c r="F33" s="9" t="s">
        <v>30</v>
      </c>
    </row>
    <row r="34" spans="1:6" x14ac:dyDescent="0.2">
      <c r="A34" s="8" t="s">
        <v>57</v>
      </c>
      <c r="B34" s="8" t="s">
        <v>24</v>
      </c>
      <c r="C34" s="8" t="s">
        <v>58</v>
      </c>
      <c r="D34" s="8">
        <v>950</v>
      </c>
      <c r="E34" s="8">
        <v>25</v>
      </c>
      <c r="F34" s="8" t="s">
        <v>26</v>
      </c>
    </row>
    <row r="35" spans="1:6" x14ac:dyDescent="0.2">
      <c r="A35" s="9" t="s">
        <v>107</v>
      </c>
      <c r="B35" s="9" t="s">
        <v>108</v>
      </c>
      <c r="C35" s="9" t="s">
        <v>109</v>
      </c>
      <c r="D35" s="9">
        <v>100</v>
      </c>
      <c r="E35" s="9">
        <v>20</v>
      </c>
      <c r="F35" s="9" t="s">
        <v>70</v>
      </c>
    </row>
  </sheetData>
  <mergeCells count="2">
    <mergeCell ref="J3:M3"/>
    <mergeCell ref="J5:M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8A7A6-BC05-4897-AFE4-5373295E318C}">
  <dimension ref="A1:G35"/>
  <sheetViews>
    <sheetView zoomScaleNormal="100" workbookViewId="0">
      <selection activeCell="I11" sqref="I11"/>
    </sheetView>
  </sheetViews>
  <sheetFormatPr defaultRowHeight="12.75" x14ac:dyDescent="0.2"/>
  <cols>
    <col min="1" max="1" width="10.85546875" bestFit="1" customWidth="1"/>
    <col min="2" max="2" width="14" bestFit="1" customWidth="1"/>
    <col min="3" max="3" width="12.28515625" bestFit="1" customWidth="1"/>
    <col min="5" max="5" width="8.5703125" bestFit="1" customWidth="1"/>
    <col min="6" max="6" width="10.5703125" customWidth="1"/>
    <col min="7" max="7" width="17.42578125" bestFit="1" customWidth="1"/>
  </cols>
  <sheetData>
    <row r="1" spans="1:7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3" t="s">
        <v>112</v>
      </c>
    </row>
    <row r="2" spans="1:7" x14ac:dyDescent="0.2">
      <c r="A2" s="8" t="s">
        <v>23</v>
      </c>
      <c r="B2" s="8" t="s">
        <v>24</v>
      </c>
      <c r="C2" s="8" t="s">
        <v>25</v>
      </c>
      <c r="D2" s="8">
        <v>1000</v>
      </c>
      <c r="E2" s="8">
        <v>30</v>
      </c>
      <c r="F2" s="8" t="s">
        <v>26</v>
      </c>
      <c r="G2" s="8" t="str">
        <f>IF(D2&gt;=500,"HIGH PRICE","STANDARD PRICE")</f>
        <v>HIGH PRICE</v>
      </c>
    </row>
    <row r="3" spans="1:7" x14ac:dyDescent="0.2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9" t="s">
        <v>30</v>
      </c>
      <c r="G3" s="8" t="str">
        <f t="shared" ref="G3:G34" si="0">IF(D3&gt;=500,"HIGH PRICE","STANDARD PRICE")</f>
        <v>STANDARD PRICE</v>
      </c>
    </row>
    <row r="4" spans="1:7" x14ac:dyDescent="0.2">
      <c r="A4" s="8" t="s">
        <v>31</v>
      </c>
      <c r="B4" s="8" t="s">
        <v>32</v>
      </c>
      <c r="C4" s="8" t="s">
        <v>33</v>
      </c>
      <c r="D4" s="8">
        <v>130</v>
      </c>
      <c r="E4" s="8">
        <v>40</v>
      </c>
      <c r="F4" s="8" t="s">
        <v>34</v>
      </c>
      <c r="G4" s="8" t="str">
        <f t="shared" si="0"/>
        <v>STANDARD PRICE</v>
      </c>
    </row>
    <row r="5" spans="1:7" x14ac:dyDescent="0.2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9" t="s">
        <v>26</v>
      </c>
      <c r="G5" s="8" t="str">
        <f t="shared" si="0"/>
        <v>HIGH PRICE</v>
      </c>
    </row>
    <row r="6" spans="1:7" x14ac:dyDescent="0.2">
      <c r="A6" s="8" t="s">
        <v>38</v>
      </c>
      <c r="B6" s="8" t="s">
        <v>39</v>
      </c>
      <c r="C6" s="8" t="s">
        <v>40</v>
      </c>
      <c r="D6" s="8">
        <v>70</v>
      </c>
      <c r="E6" s="8">
        <v>20</v>
      </c>
      <c r="F6" s="8" t="s">
        <v>41</v>
      </c>
      <c r="G6" s="8" t="str">
        <f t="shared" si="0"/>
        <v>STANDARD PRICE</v>
      </c>
    </row>
    <row r="7" spans="1:7" x14ac:dyDescent="0.2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9" t="s">
        <v>26</v>
      </c>
      <c r="G7" s="8" t="str">
        <f t="shared" si="0"/>
        <v>STANDARD PRICE</v>
      </c>
    </row>
    <row r="8" spans="1:7" x14ac:dyDescent="0.2">
      <c r="A8" s="8" t="s">
        <v>45</v>
      </c>
      <c r="B8" s="8" t="s">
        <v>46</v>
      </c>
      <c r="C8" s="8" t="s">
        <v>47</v>
      </c>
      <c r="D8" s="8">
        <v>30</v>
      </c>
      <c r="E8" s="8">
        <v>5</v>
      </c>
      <c r="F8" s="8" t="s">
        <v>30</v>
      </c>
      <c r="G8" s="8" t="str">
        <f t="shared" si="0"/>
        <v>STANDARD PRICE</v>
      </c>
    </row>
    <row r="9" spans="1:7" x14ac:dyDescent="0.2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9" t="s">
        <v>34</v>
      </c>
      <c r="G9" s="8" t="str">
        <f t="shared" si="0"/>
        <v>STANDARD PRICE</v>
      </c>
    </row>
    <row r="10" spans="1:7" x14ac:dyDescent="0.2">
      <c r="A10" s="8" t="s">
        <v>51</v>
      </c>
      <c r="B10" s="8" t="s">
        <v>52</v>
      </c>
      <c r="C10" s="8" t="s">
        <v>53</v>
      </c>
      <c r="D10" s="8">
        <v>500</v>
      </c>
      <c r="E10" s="8">
        <v>50</v>
      </c>
      <c r="F10" s="8" t="s">
        <v>26</v>
      </c>
      <c r="G10" s="8" t="str">
        <f t="shared" si="0"/>
        <v>HIGH PRICE</v>
      </c>
    </row>
    <row r="11" spans="1:7" x14ac:dyDescent="0.2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9" t="s">
        <v>41</v>
      </c>
      <c r="G11" s="8" t="str">
        <f t="shared" si="0"/>
        <v>STANDARD PRICE</v>
      </c>
    </row>
    <row r="12" spans="1:7" x14ac:dyDescent="0.2">
      <c r="A12" s="8" t="s">
        <v>57</v>
      </c>
      <c r="B12" s="8" t="s">
        <v>24</v>
      </c>
      <c r="C12" s="8" t="s">
        <v>58</v>
      </c>
      <c r="D12" s="8">
        <v>950</v>
      </c>
      <c r="E12" s="8">
        <v>25</v>
      </c>
      <c r="F12" s="8" t="s">
        <v>26</v>
      </c>
      <c r="G12" s="8" t="str">
        <f t="shared" si="0"/>
        <v>HIGH PRICE</v>
      </c>
    </row>
    <row r="13" spans="1:7" x14ac:dyDescent="0.2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9" t="s">
        <v>30</v>
      </c>
      <c r="G13" s="8" t="str">
        <f t="shared" si="0"/>
        <v>STANDARD PRICE</v>
      </c>
    </row>
    <row r="14" spans="1:7" x14ac:dyDescent="0.2">
      <c r="A14" s="8" t="s">
        <v>60</v>
      </c>
      <c r="B14" s="8" t="s">
        <v>32</v>
      </c>
      <c r="C14" s="8" t="s">
        <v>61</v>
      </c>
      <c r="D14" s="8">
        <v>120</v>
      </c>
      <c r="E14" s="8">
        <v>35</v>
      </c>
      <c r="F14" s="8" t="s">
        <v>34</v>
      </c>
      <c r="G14" s="8" t="str">
        <f t="shared" si="0"/>
        <v>STANDARD PRICE</v>
      </c>
    </row>
    <row r="15" spans="1:7" x14ac:dyDescent="0.2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9" t="s">
        <v>26</v>
      </c>
      <c r="G15" s="8" t="str">
        <f t="shared" si="0"/>
        <v>STANDARD PRICE</v>
      </c>
    </row>
    <row r="16" spans="1:7" x14ac:dyDescent="0.2">
      <c r="A16" s="8" t="s">
        <v>65</v>
      </c>
      <c r="B16" s="8" t="s">
        <v>43</v>
      </c>
      <c r="C16" s="8" t="s">
        <v>66</v>
      </c>
      <c r="D16" s="8">
        <v>250</v>
      </c>
      <c r="E16" s="8">
        <v>20</v>
      </c>
      <c r="F16" s="8" t="s">
        <v>26</v>
      </c>
      <c r="G16" s="8" t="str">
        <f t="shared" si="0"/>
        <v>STANDARD PRICE</v>
      </c>
    </row>
    <row r="17" spans="1:7" x14ac:dyDescent="0.2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9" t="s">
        <v>70</v>
      </c>
      <c r="G17" s="8" t="str">
        <f t="shared" si="0"/>
        <v>STANDARD PRICE</v>
      </c>
    </row>
    <row r="18" spans="1:7" x14ac:dyDescent="0.2">
      <c r="A18" s="8" t="s">
        <v>71</v>
      </c>
      <c r="B18" s="8" t="s">
        <v>63</v>
      </c>
      <c r="C18" s="8" t="s">
        <v>72</v>
      </c>
      <c r="D18" s="8">
        <v>160</v>
      </c>
      <c r="E18" s="8">
        <v>15</v>
      </c>
      <c r="F18" s="8" t="s">
        <v>26</v>
      </c>
      <c r="G18" s="8" t="str">
        <f t="shared" si="0"/>
        <v>STANDARD PRICE</v>
      </c>
    </row>
    <row r="19" spans="1:7" x14ac:dyDescent="0.2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9" t="s">
        <v>26</v>
      </c>
      <c r="G19" s="8" t="str">
        <f t="shared" si="0"/>
        <v>HIGH PRICE</v>
      </c>
    </row>
    <row r="20" spans="1:7" x14ac:dyDescent="0.2">
      <c r="A20" s="8" t="s">
        <v>75</v>
      </c>
      <c r="B20" s="8" t="s">
        <v>76</v>
      </c>
      <c r="C20" s="8" t="s">
        <v>77</v>
      </c>
      <c r="D20" s="8">
        <v>150</v>
      </c>
      <c r="E20" s="8">
        <v>15</v>
      </c>
      <c r="F20" s="8" t="s">
        <v>30</v>
      </c>
      <c r="G20" s="8" t="str">
        <f t="shared" si="0"/>
        <v>STANDARD PRICE</v>
      </c>
    </row>
    <row r="21" spans="1:7" x14ac:dyDescent="0.2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9" t="s">
        <v>41</v>
      </c>
      <c r="G21" s="8" t="str">
        <f t="shared" si="0"/>
        <v>STANDARD PRICE</v>
      </c>
    </row>
    <row r="22" spans="1:7" x14ac:dyDescent="0.2">
      <c r="A22" s="8" t="s">
        <v>81</v>
      </c>
      <c r="B22" s="8" t="s">
        <v>82</v>
      </c>
      <c r="C22" s="8" t="s">
        <v>83</v>
      </c>
      <c r="D22" s="8">
        <v>700</v>
      </c>
      <c r="E22" s="8">
        <v>50</v>
      </c>
      <c r="F22" s="8" t="s">
        <v>26</v>
      </c>
      <c r="G22" s="8" t="str">
        <f t="shared" si="0"/>
        <v>HIGH PRICE</v>
      </c>
    </row>
    <row r="23" spans="1:7" x14ac:dyDescent="0.2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9" t="s">
        <v>34</v>
      </c>
      <c r="G23" s="8" t="str">
        <f t="shared" si="0"/>
        <v>STANDARD PRICE</v>
      </c>
    </row>
    <row r="24" spans="1:7" x14ac:dyDescent="0.2">
      <c r="A24" s="8" t="s">
        <v>87</v>
      </c>
      <c r="B24" s="8" t="s">
        <v>88</v>
      </c>
      <c r="C24" s="8" t="s">
        <v>89</v>
      </c>
      <c r="D24" s="8">
        <v>150</v>
      </c>
      <c r="E24" s="8">
        <v>30</v>
      </c>
      <c r="F24" s="8" t="s">
        <v>26</v>
      </c>
      <c r="G24" s="8" t="str">
        <f t="shared" si="0"/>
        <v>STANDARD PRICE</v>
      </c>
    </row>
    <row r="25" spans="1:7" x14ac:dyDescent="0.2">
      <c r="A25" s="9" t="s">
        <v>67</v>
      </c>
      <c r="B25" s="9" t="s">
        <v>68</v>
      </c>
      <c r="C25" s="9" t="s">
        <v>69</v>
      </c>
      <c r="D25" s="9">
        <v>50</v>
      </c>
      <c r="E25" s="9">
        <v>35</v>
      </c>
      <c r="F25" s="9" t="s">
        <v>70</v>
      </c>
      <c r="G25" s="8" t="str">
        <f t="shared" si="0"/>
        <v>STANDARD PRICE</v>
      </c>
    </row>
    <row r="26" spans="1:7" x14ac:dyDescent="0.2">
      <c r="A26" s="8" t="s">
        <v>90</v>
      </c>
      <c r="B26" s="8" t="s">
        <v>36</v>
      </c>
      <c r="C26" s="8" t="s">
        <v>91</v>
      </c>
      <c r="D26" s="8">
        <v>800</v>
      </c>
      <c r="E26" s="8">
        <v>45</v>
      </c>
      <c r="F26" s="8" t="s">
        <v>26</v>
      </c>
      <c r="G26" s="8" t="str">
        <f t="shared" si="0"/>
        <v>HIGH PRICE</v>
      </c>
    </row>
    <row r="27" spans="1:7" x14ac:dyDescent="0.2">
      <c r="A27" s="9" t="s">
        <v>92</v>
      </c>
      <c r="B27" s="9" t="s">
        <v>76</v>
      </c>
      <c r="C27" s="9" t="s">
        <v>93</v>
      </c>
      <c r="D27" s="9">
        <v>130</v>
      </c>
      <c r="E27" s="9">
        <v>25</v>
      </c>
      <c r="F27" s="9" t="s">
        <v>30</v>
      </c>
      <c r="G27" s="8" t="str">
        <f t="shared" si="0"/>
        <v>STANDARD PRICE</v>
      </c>
    </row>
    <row r="28" spans="1:7" x14ac:dyDescent="0.2">
      <c r="A28" s="8" t="s">
        <v>94</v>
      </c>
      <c r="B28" s="8" t="s">
        <v>49</v>
      </c>
      <c r="C28" s="8" t="s">
        <v>95</v>
      </c>
      <c r="D28" s="8">
        <v>400</v>
      </c>
      <c r="E28" s="8">
        <v>40</v>
      </c>
      <c r="F28" s="8" t="s">
        <v>34</v>
      </c>
      <c r="G28" s="8" t="str">
        <f t="shared" si="0"/>
        <v>STANDARD PRICE</v>
      </c>
    </row>
    <row r="29" spans="1:7" x14ac:dyDescent="0.2">
      <c r="A29" s="9" t="s">
        <v>65</v>
      </c>
      <c r="B29" s="9" t="s">
        <v>43</v>
      </c>
      <c r="C29" s="9" t="s">
        <v>66</v>
      </c>
      <c r="D29" s="9">
        <v>230</v>
      </c>
      <c r="E29" s="9">
        <v>20</v>
      </c>
      <c r="F29" s="9" t="s">
        <v>26</v>
      </c>
      <c r="G29" s="8" t="str">
        <f t="shared" si="0"/>
        <v>STANDARD PRICE</v>
      </c>
    </row>
    <row r="30" spans="1:7" x14ac:dyDescent="0.2">
      <c r="A30" s="8" t="s">
        <v>96</v>
      </c>
      <c r="B30" s="8" t="s">
        <v>97</v>
      </c>
      <c r="C30" s="8" t="s">
        <v>98</v>
      </c>
      <c r="D30" s="8">
        <v>60</v>
      </c>
      <c r="E30" s="8">
        <v>30</v>
      </c>
      <c r="F30" s="8" t="s">
        <v>30</v>
      </c>
      <c r="G30" s="8" t="str">
        <f t="shared" si="0"/>
        <v>STANDARD PRICE</v>
      </c>
    </row>
    <row r="31" spans="1:7" x14ac:dyDescent="0.2">
      <c r="A31" s="9" t="s">
        <v>99</v>
      </c>
      <c r="B31" s="9" t="s">
        <v>100</v>
      </c>
      <c r="C31" s="9" t="s">
        <v>101</v>
      </c>
      <c r="D31" s="9">
        <v>40</v>
      </c>
      <c r="E31" s="9">
        <v>10</v>
      </c>
      <c r="F31" s="9" t="s">
        <v>34</v>
      </c>
      <c r="G31" s="8" t="str">
        <f t="shared" si="0"/>
        <v>STANDARD PRICE</v>
      </c>
    </row>
    <row r="32" spans="1:7" x14ac:dyDescent="0.2">
      <c r="A32" s="8" t="s">
        <v>102</v>
      </c>
      <c r="B32" s="8" t="s">
        <v>88</v>
      </c>
      <c r="C32" s="8" t="s">
        <v>103</v>
      </c>
      <c r="D32" s="8">
        <v>130</v>
      </c>
      <c r="E32" s="8">
        <v>5</v>
      </c>
      <c r="F32" s="8" t="s">
        <v>26</v>
      </c>
      <c r="G32" s="8" t="str">
        <f t="shared" si="0"/>
        <v>STANDARD PRICE</v>
      </c>
    </row>
    <row r="33" spans="1:7" x14ac:dyDescent="0.2">
      <c r="A33" s="9" t="s">
        <v>104</v>
      </c>
      <c r="B33" s="9" t="s">
        <v>105</v>
      </c>
      <c r="C33" s="9" t="s">
        <v>106</v>
      </c>
      <c r="D33" s="9">
        <v>50</v>
      </c>
      <c r="E33" s="9">
        <v>50</v>
      </c>
      <c r="F33" s="9" t="s">
        <v>30</v>
      </c>
      <c r="G33" s="8" t="str">
        <f t="shared" si="0"/>
        <v>STANDARD PRICE</v>
      </c>
    </row>
    <row r="34" spans="1:7" x14ac:dyDescent="0.2">
      <c r="A34" s="8" t="s">
        <v>57</v>
      </c>
      <c r="B34" s="8" t="s">
        <v>24</v>
      </c>
      <c r="C34" s="8" t="s">
        <v>58</v>
      </c>
      <c r="D34" s="8">
        <v>950</v>
      </c>
      <c r="E34" s="8">
        <v>25</v>
      </c>
      <c r="F34" s="8" t="s">
        <v>26</v>
      </c>
      <c r="G34" s="8" t="str">
        <f t="shared" si="0"/>
        <v>HIGH PRICE</v>
      </c>
    </row>
    <row r="35" spans="1:7" x14ac:dyDescent="0.2">
      <c r="A35" s="9" t="s">
        <v>107</v>
      </c>
      <c r="B35" s="9" t="s">
        <v>108</v>
      </c>
      <c r="C35" s="9" t="s">
        <v>109</v>
      </c>
      <c r="D35" s="9">
        <v>100</v>
      </c>
      <c r="E35" s="9">
        <v>20</v>
      </c>
      <c r="F35" s="9" t="s">
        <v>70</v>
      </c>
      <c r="G35" s="8" t="str">
        <f>IF(D35&gt;=500,"HIGH PRICE","STANDARD PRICE")</f>
        <v>STANDARD PRICE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DB8E7-EA20-450C-B385-2BBFC87E47BC}">
  <dimension ref="A1:N35"/>
  <sheetViews>
    <sheetView workbookViewId="0">
      <selection activeCell="N17" sqref="N17"/>
    </sheetView>
  </sheetViews>
  <sheetFormatPr defaultRowHeight="12.75" x14ac:dyDescent="0.2"/>
  <cols>
    <col min="1" max="1" width="10.85546875" bestFit="1" customWidth="1"/>
    <col min="2" max="2" width="14" bestFit="1" customWidth="1"/>
    <col min="3" max="3" width="12.28515625" bestFit="1" customWidth="1"/>
    <col min="6" max="6" width="11.28515625" bestFit="1" customWidth="1"/>
    <col min="9" max="9" width="8" customWidth="1"/>
    <col min="13" max="13" width="9.140625" customWidth="1"/>
    <col min="14" max="14" width="23.85546875" customWidth="1"/>
  </cols>
  <sheetData>
    <row r="1" spans="1:14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</row>
    <row r="2" spans="1:14" x14ac:dyDescent="0.2">
      <c r="A2" s="8" t="s">
        <v>23</v>
      </c>
      <c r="B2" s="8" t="s">
        <v>24</v>
      </c>
      <c r="C2" s="8" t="s">
        <v>25</v>
      </c>
      <c r="D2" s="8">
        <v>1000</v>
      </c>
      <c r="E2" s="8">
        <v>30</v>
      </c>
      <c r="F2" s="8" t="s">
        <v>26</v>
      </c>
    </row>
    <row r="3" spans="1:14" x14ac:dyDescent="0.2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9" t="s">
        <v>30</v>
      </c>
    </row>
    <row r="4" spans="1:14" x14ac:dyDescent="0.2">
      <c r="A4" s="8" t="s">
        <v>31</v>
      </c>
      <c r="B4" s="8" t="s">
        <v>32</v>
      </c>
      <c r="C4" s="8" t="s">
        <v>33</v>
      </c>
      <c r="D4" s="8">
        <v>130</v>
      </c>
      <c r="E4" s="8">
        <v>40</v>
      </c>
      <c r="F4" s="8" t="s">
        <v>34</v>
      </c>
    </row>
    <row r="5" spans="1:14" x14ac:dyDescent="0.2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9" t="s">
        <v>26</v>
      </c>
    </row>
    <row r="6" spans="1:14" x14ac:dyDescent="0.2">
      <c r="A6" s="8" t="s">
        <v>38</v>
      </c>
      <c r="B6" s="8" t="s">
        <v>39</v>
      </c>
      <c r="C6" s="8" t="s">
        <v>40</v>
      </c>
      <c r="D6" s="8">
        <v>70</v>
      </c>
      <c r="E6" s="8">
        <v>20</v>
      </c>
      <c r="F6" s="8" t="s">
        <v>41</v>
      </c>
    </row>
    <row r="7" spans="1:14" x14ac:dyDescent="0.2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9" t="s">
        <v>26</v>
      </c>
    </row>
    <row r="8" spans="1:14" x14ac:dyDescent="0.2">
      <c r="A8" s="8" t="s">
        <v>45</v>
      </c>
      <c r="B8" s="8" t="s">
        <v>46</v>
      </c>
      <c r="C8" s="8" t="s">
        <v>47</v>
      </c>
      <c r="D8" s="8">
        <v>30</v>
      </c>
      <c r="E8" s="8">
        <v>5</v>
      </c>
      <c r="F8" s="8" t="s">
        <v>30</v>
      </c>
    </row>
    <row r="9" spans="1:14" x14ac:dyDescent="0.2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9" t="s">
        <v>34</v>
      </c>
    </row>
    <row r="10" spans="1:14" x14ac:dyDescent="0.2">
      <c r="A10" s="8" t="s">
        <v>51</v>
      </c>
      <c r="B10" s="8" t="s">
        <v>52</v>
      </c>
      <c r="C10" s="8" t="s">
        <v>53</v>
      </c>
      <c r="D10" s="8">
        <v>500</v>
      </c>
      <c r="E10" s="8">
        <v>50</v>
      </c>
      <c r="F10" s="8" t="s">
        <v>26</v>
      </c>
    </row>
    <row r="11" spans="1:14" x14ac:dyDescent="0.2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9" t="s">
        <v>41</v>
      </c>
      <c r="J11" s="19" t="s">
        <v>113</v>
      </c>
      <c r="K11" s="19"/>
      <c r="L11" s="19"/>
      <c r="M11" s="19"/>
      <c r="N11" s="20">
        <f>SUMIF(F2:F35,"ELECTRONICS",D2:D35)</f>
        <v>8050</v>
      </c>
    </row>
    <row r="12" spans="1:14" x14ac:dyDescent="0.2">
      <c r="A12" s="8" t="s">
        <v>57</v>
      </c>
      <c r="B12" s="8" t="s">
        <v>24</v>
      </c>
      <c r="C12" s="8" t="s">
        <v>58</v>
      </c>
      <c r="D12" s="8">
        <v>950</v>
      </c>
      <c r="E12" s="8">
        <v>25</v>
      </c>
      <c r="F12" s="8" t="s">
        <v>26</v>
      </c>
      <c r="J12" s="20"/>
      <c r="K12" s="20"/>
      <c r="L12" s="20"/>
      <c r="M12" s="20"/>
      <c r="N12" s="20"/>
    </row>
    <row r="13" spans="1:14" x14ac:dyDescent="0.2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9" t="s">
        <v>30</v>
      </c>
      <c r="J13" s="21" t="s">
        <v>114</v>
      </c>
      <c r="K13" s="21"/>
      <c r="L13" s="21"/>
      <c r="M13" s="21"/>
      <c r="N13" s="20">
        <f>COUNTIF(D3:D35,"&lt; 100")</f>
        <v>11</v>
      </c>
    </row>
    <row r="14" spans="1:14" x14ac:dyDescent="0.2">
      <c r="A14" s="8" t="s">
        <v>60</v>
      </c>
      <c r="B14" s="8" t="s">
        <v>32</v>
      </c>
      <c r="C14" s="8" t="s">
        <v>61</v>
      </c>
      <c r="D14" s="8">
        <v>120</v>
      </c>
      <c r="E14" s="8">
        <v>35</v>
      </c>
      <c r="F14" s="8" t="s">
        <v>34</v>
      </c>
      <c r="N14" s="14"/>
    </row>
    <row r="15" spans="1:14" x14ac:dyDescent="0.2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9" t="s">
        <v>26</v>
      </c>
    </row>
    <row r="16" spans="1:14" x14ac:dyDescent="0.2">
      <c r="A16" s="8" t="s">
        <v>65</v>
      </c>
      <c r="B16" s="8" t="s">
        <v>43</v>
      </c>
      <c r="C16" s="8" t="s">
        <v>66</v>
      </c>
      <c r="D16" s="8">
        <v>250</v>
      </c>
      <c r="E16" s="8">
        <v>20</v>
      </c>
      <c r="F16" s="8" t="s">
        <v>26</v>
      </c>
    </row>
    <row r="17" spans="1:6" x14ac:dyDescent="0.2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9" t="s">
        <v>70</v>
      </c>
    </row>
    <row r="18" spans="1:6" x14ac:dyDescent="0.2">
      <c r="A18" s="8" t="s">
        <v>71</v>
      </c>
      <c r="B18" s="8" t="s">
        <v>63</v>
      </c>
      <c r="C18" s="8" t="s">
        <v>72</v>
      </c>
      <c r="D18" s="8">
        <v>160</v>
      </c>
      <c r="E18" s="8">
        <v>15</v>
      </c>
      <c r="F18" s="8" t="s">
        <v>26</v>
      </c>
    </row>
    <row r="19" spans="1:6" x14ac:dyDescent="0.2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9" t="s">
        <v>26</v>
      </c>
    </row>
    <row r="20" spans="1:6" x14ac:dyDescent="0.2">
      <c r="A20" s="8" t="s">
        <v>75</v>
      </c>
      <c r="B20" s="8" t="s">
        <v>76</v>
      </c>
      <c r="C20" s="8" t="s">
        <v>77</v>
      </c>
      <c r="D20" s="8">
        <v>150</v>
      </c>
      <c r="E20" s="8">
        <v>15</v>
      </c>
      <c r="F20" s="8" t="s">
        <v>30</v>
      </c>
    </row>
    <row r="21" spans="1:6" x14ac:dyDescent="0.2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9" t="s">
        <v>41</v>
      </c>
    </row>
    <row r="22" spans="1:6" x14ac:dyDescent="0.2">
      <c r="A22" s="8" t="s">
        <v>81</v>
      </c>
      <c r="B22" s="8" t="s">
        <v>82</v>
      </c>
      <c r="C22" s="8" t="s">
        <v>83</v>
      </c>
      <c r="D22" s="8">
        <v>700</v>
      </c>
      <c r="E22" s="8">
        <v>50</v>
      </c>
      <c r="F22" s="8" t="s">
        <v>26</v>
      </c>
    </row>
    <row r="23" spans="1:6" x14ac:dyDescent="0.2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9" t="s">
        <v>34</v>
      </c>
    </row>
    <row r="24" spans="1:6" x14ac:dyDescent="0.2">
      <c r="A24" s="8" t="s">
        <v>87</v>
      </c>
      <c r="B24" s="8" t="s">
        <v>88</v>
      </c>
      <c r="C24" s="8" t="s">
        <v>89</v>
      </c>
      <c r="D24" s="8">
        <v>150</v>
      </c>
      <c r="E24" s="8">
        <v>30</v>
      </c>
      <c r="F24" s="8" t="s">
        <v>26</v>
      </c>
    </row>
    <row r="25" spans="1:6" x14ac:dyDescent="0.2">
      <c r="A25" s="9" t="s">
        <v>67</v>
      </c>
      <c r="B25" s="9" t="s">
        <v>68</v>
      </c>
      <c r="C25" s="9" t="s">
        <v>69</v>
      </c>
      <c r="D25" s="9">
        <v>50</v>
      </c>
      <c r="E25" s="9">
        <v>35</v>
      </c>
      <c r="F25" s="9" t="s">
        <v>70</v>
      </c>
    </row>
    <row r="26" spans="1:6" x14ac:dyDescent="0.2">
      <c r="A26" s="8" t="s">
        <v>90</v>
      </c>
      <c r="B26" s="8" t="s">
        <v>36</v>
      </c>
      <c r="C26" s="8" t="s">
        <v>91</v>
      </c>
      <c r="D26" s="8">
        <v>800</v>
      </c>
      <c r="E26" s="8">
        <v>45</v>
      </c>
      <c r="F26" s="8" t="s">
        <v>26</v>
      </c>
    </row>
    <row r="27" spans="1:6" x14ac:dyDescent="0.2">
      <c r="A27" s="9" t="s">
        <v>92</v>
      </c>
      <c r="B27" s="9" t="s">
        <v>76</v>
      </c>
      <c r="C27" s="9" t="s">
        <v>93</v>
      </c>
      <c r="D27" s="9">
        <v>130</v>
      </c>
      <c r="E27" s="9">
        <v>25</v>
      </c>
      <c r="F27" s="9" t="s">
        <v>30</v>
      </c>
    </row>
    <row r="28" spans="1:6" x14ac:dyDescent="0.2">
      <c r="A28" s="8" t="s">
        <v>94</v>
      </c>
      <c r="B28" s="8" t="s">
        <v>49</v>
      </c>
      <c r="C28" s="8" t="s">
        <v>95</v>
      </c>
      <c r="D28" s="8">
        <v>400</v>
      </c>
      <c r="E28" s="8">
        <v>40</v>
      </c>
      <c r="F28" s="8" t="s">
        <v>34</v>
      </c>
    </row>
    <row r="29" spans="1:6" x14ac:dyDescent="0.2">
      <c r="A29" s="9" t="s">
        <v>65</v>
      </c>
      <c r="B29" s="9" t="s">
        <v>43</v>
      </c>
      <c r="C29" s="9" t="s">
        <v>66</v>
      </c>
      <c r="D29" s="9">
        <v>230</v>
      </c>
      <c r="E29" s="9">
        <v>20</v>
      </c>
      <c r="F29" s="9" t="s">
        <v>26</v>
      </c>
    </row>
    <row r="30" spans="1:6" x14ac:dyDescent="0.2">
      <c r="A30" s="8" t="s">
        <v>96</v>
      </c>
      <c r="B30" s="8" t="s">
        <v>97</v>
      </c>
      <c r="C30" s="8" t="s">
        <v>98</v>
      </c>
      <c r="D30" s="8">
        <v>60</v>
      </c>
      <c r="E30" s="8">
        <v>30</v>
      </c>
      <c r="F30" s="8" t="s">
        <v>30</v>
      </c>
    </row>
    <row r="31" spans="1:6" x14ac:dyDescent="0.2">
      <c r="A31" s="9" t="s">
        <v>99</v>
      </c>
      <c r="B31" s="9" t="s">
        <v>100</v>
      </c>
      <c r="C31" s="9" t="s">
        <v>101</v>
      </c>
      <c r="D31" s="9">
        <v>40</v>
      </c>
      <c r="E31" s="9">
        <v>10</v>
      </c>
      <c r="F31" s="9" t="s">
        <v>34</v>
      </c>
    </row>
    <row r="32" spans="1:6" x14ac:dyDescent="0.2">
      <c r="A32" s="8" t="s">
        <v>102</v>
      </c>
      <c r="B32" s="8" t="s">
        <v>88</v>
      </c>
      <c r="C32" s="8" t="s">
        <v>103</v>
      </c>
      <c r="D32" s="8">
        <v>130</v>
      </c>
      <c r="E32" s="8">
        <v>5</v>
      </c>
      <c r="F32" s="8" t="s">
        <v>26</v>
      </c>
    </row>
    <row r="33" spans="1:6" x14ac:dyDescent="0.2">
      <c r="A33" s="9" t="s">
        <v>104</v>
      </c>
      <c r="B33" s="9" t="s">
        <v>105</v>
      </c>
      <c r="C33" s="9" t="s">
        <v>106</v>
      </c>
      <c r="D33" s="9">
        <v>50</v>
      </c>
      <c r="E33" s="9">
        <v>50</v>
      </c>
      <c r="F33" s="9" t="s">
        <v>30</v>
      </c>
    </row>
    <row r="34" spans="1:6" x14ac:dyDescent="0.2">
      <c r="A34" s="8" t="s">
        <v>57</v>
      </c>
      <c r="B34" s="8" t="s">
        <v>24</v>
      </c>
      <c r="C34" s="8" t="s">
        <v>58</v>
      </c>
      <c r="D34" s="8">
        <v>950</v>
      </c>
      <c r="E34" s="8">
        <v>25</v>
      </c>
      <c r="F34" s="8" t="s">
        <v>26</v>
      </c>
    </row>
    <row r="35" spans="1:6" x14ac:dyDescent="0.2">
      <c r="A35" s="9" t="s">
        <v>107</v>
      </c>
      <c r="B35" s="9" t="s">
        <v>108</v>
      </c>
      <c r="C35" s="9" t="s">
        <v>109</v>
      </c>
      <c r="D35" s="9">
        <v>100</v>
      </c>
      <c r="E35" s="9">
        <v>20</v>
      </c>
      <c r="F35" s="9" t="s">
        <v>70</v>
      </c>
    </row>
  </sheetData>
  <mergeCells count="1">
    <mergeCell ref="J11:M11"/>
  </mergeCells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57F30-C402-4CB1-BD9E-71AC66B5D182}">
  <dimension ref="A1:J35"/>
  <sheetViews>
    <sheetView tabSelected="1" workbookViewId="0">
      <selection activeCell="J26" sqref="J26"/>
    </sheetView>
  </sheetViews>
  <sheetFormatPr defaultRowHeight="12.75" x14ac:dyDescent="0.2"/>
  <cols>
    <col min="1" max="1" width="10.85546875" bestFit="1" customWidth="1"/>
    <col min="2" max="2" width="14" bestFit="1" customWidth="1"/>
    <col min="5" max="5" width="8.5703125" bestFit="1" customWidth="1"/>
    <col min="6" max="6" width="11.28515625" bestFit="1" customWidth="1"/>
    <col min="7" max="7" width="11.28515625" customWidth="1"/>
    <col min="8" max="8" width="15.7109375" bestFit="1" customWidth="1"/>
    <col min="9" max="10" width="15.7109375" customWidth="1"/>
  </cols>
  <sheetData>
    <row r="1" spans="1:10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3" t="s">
        <v>115</v>
      </c>
      <c r="H1" s="13" t="s">
        <v>116</v>
      </c>
      <c r="I1" s="13" t="s">
        <v>117</v>
      </c>
    </row>
    <row r="2" spans="1:10" x14ac:dyDescent="0.2">
      <c r="A2" s="8" t="s">
        <v>23</v>
      </c>
      <c r="B2" s="8" t="s">
        <v>24</v>
      </c>
      <c r="C2" s="8" t="s">
        <v>25</v>
      </c>
      <c r="D2" s="8">
        <v>1000</v>
      </c>
      <c r="E2" s="8">
        <v>30</v>
      </c>
      <c r="F2" s="8" t="s">
        <v>26</v>
      </c>
      <c r="G2" s="8" t="str" cm="1">
        <f t="array" ref="G2:G35">LEFT('TEXT FORMATING'!A2:A35,2)</f>
        <v>28</v>
      </c>
      <c r="H2" s="8" t="str" cm="1">
        <f t="array" ref="H2:H35">RIGHT(A2:A35,2)</f>
        <v>US</v>
      </c>
      <c r="I2" s="8" t="str" cm="1">
        <f t="array" ref="I2:I35">MID(A2:A35,4,3)</f>
        <v>JAN</v>
      </c>
      <c r="J2" s="8"/>
    </row>
    <row r="3" spans="1:10" x14ac:dyDescent="0.2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9" t="s">
        <v>30</v>
      </c>
      <c r="G3" s="9" t="str">
        <v>15</v>
      </c>
      <c r="H3" s="9" t="str">
        <v>US</v>
      </c>
      <c r="I3" s="9" t="str">
        <v>FEB</v>
      </c>
      <c r="J3" s="8"/>
    </row>
    <row r="4" spans="1:10" x14ac:dyDescent="0.2">
      <c r="A4" s="8" t="s">
        <v>31</v>
      </c>
      <c r="B4" s="8" t="s">
        <v>32</v>
      </c>
      <c r="C4" s="8" t="s">
        <v>33</v>
      </c>
      <c r="D4" s="8">
        <v>130</v>
      </c>
      <c r="E4" s="8">
        <v>40</v>
      </c>
      <c r="F4" s="8" t="s">
        <v>34</v>
      </c>
      <c r="G4" s="8" t="str">
        <v>03</v>
      </c>
      <c r="H4" s="8" t="str">
        <v>US</v>
      </c>
      <c r="I4" s="8" t="str">
        <v>MAR</v>
      </c>
      <c r="J4" s="8"/>
    </row>
    <row r="5" spans="1:10" x14ac:dyDescent="0.2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9" t="s">
        <v>26</v>
      </c>
      <c r="G5" s="9" t="str">
        <v>11</v>
      </c>
      <c r="H5" s="9" t="str">
        <v>US</v>
      </c>
      <c r="I5" s="9" t="str">
        <v>APR</v>
      </c>
      <c r="J5" s="8"/>
    </row>
    <row r="6" spans="1:10" x14ac:dyDescent="0.2">
      <c r="A6" s="8" t="s">
        <v>38</v>
      </c>
      <c r="B6" s="8" t="s">
        <v>39</v>
      </c>
      <c r="C6" s="8" t="s">
        <v>40</v>
      </c>
      <c r="D6" s="8">
        <v>70</v>
      </c>
      <c r="E6" s="8">
        <v>20</v>
      </c>
      <c r="F6" s="8" t="s">
        <v>41</v>
      </c>
      <c r="G6" s="8" t="str">
        <v>22</v>
      </c>
      <c r="H6" s="8" t="str">
        <v>US</v>
      </c>
      <c r="I6" s="8" t="str">
        <v>MAY</v>
      </c>
      <c r="J6" s="8"/>
    </row>
    <row r="7" spans="1:10" x14ac:dyDescent="0.2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9" t="s">
        <v>26</v>
      </c>
      <c r="G7" s="9" t="str">
        <v>07</v>
      </c>
      <c r="H7" s="9" t="str">
        <v>UK</v>
      </c>
      <c r="I7" s="9" t="str">
        <v>JUN</v>
      </c>
      <c r="J7" s="8"/>
    </row>
    <row r="8" spans="1:10" x14ac:dyDescent="0.2">
      <c r="A8" s="8" t="s">
        <v>45</v>
      </c>
      <c r="B8" s="8" t="s">
        <v>46</v>
      </c>
      <c r="C8" s="8" t="s">
        <v>47</v>
      </c>
      <c r="D8" s="8">
        <v>30</v>
      </c>
      <c r="E8" s="8">
        <v>5</v>
      </c>
      <c r="F8" s="8" t="s">
        <v>30</v>
      </c>
      <c r="G8" s="8" t="str">
        <v>19</v>
      </c>
      <c r="H8" s="8" t="str">
        <v>UK</v>
      </c>
      <c r="I8" s="8" t="str">
        <v>JUL</v>
      </c>
      <c r="J8" s="8"/>
    </row>
    <row r="9" spans="1:10" x14ac:dyDescent="0.2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9" t="s">
        <v>34</v>
      </c>
      <c r="G9" s="9" t="str">
        <v>23</v>
      </c>
      <c r="H9" s="9" t="str">
        <v>UK</v>
      </c>
      <c r="I9" s="9" t="str">
        <v>AUG</v>
      </c>
      <c r="J9" s="8"/>
    </row>
    <row r="10" spans="1:10" x14ac:dyDescent="0.2">
      <c r="A10" s="8" t="s">
        <v>51</v>
      </c>
      <c r="B10" s="8" t="s">
        <v>52</v>
      </c>
      <c r="C10" s="8" t="s">
        <v>53</v>
      </c>
      <c r="D10" s="8">
        <v>500</v>
      </c>
      <c r="E10" s="8">
        <v>50</v>
      </c>
      <c r="F10" s="8" t="s">
        <v>26</v>
      </c>
      <c r="G10" s="8" t="str">
        <v>05</v>
      </c>
      <c r="H10" s="8" t="str">
        <v>UK</v>
      </c>
      <c r="I10" s="8" t="str">
        <v>SEP</v>
      </c>
      <c r="J10" s="8"/>
    </row>
    <row r="11" spans="1:10" x14ac:dyDescent="0.2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9" t="s">
        <v>41</v>
      </c>
      <c r="G11" s="9" t="str">
        <v>14</v>
      </c>
      <c r="H11" s="9" t="str">
        <v>UK</v>
      </c>
      <c r="I11" s="9" t="str">
        <v>OCT</v>
      </c>
      <c r="J11" s="8"/>
    </row>
    <row r="12" spans="1:10" x14ac:dyDescent="0.2">
      <c r="A12" s="8" t="s">
        <v>57</v>
      </c>
      <c r="B12" s="8" t="s">
        <v>24</v>
      </c>
      <c r="C12" s="8" t="s">
        <v>58</v>
      </c>
      <c r="D12" s="8">
        <v>950</v>
      </c>
      <c r="E12" s="8">
        <v>25</v>
      </c>
      <c r="F12" s="8" t="s">
        <v>26</v>
      </c>
      <c r="G12" s="8" t="str">
        <v>17</v>
      </c>
      <c r="H12" s="8" t="str">
        <v>IN</v>
      </c>
      <c r="I12" s="8" t="str">
        <v>JUN</v>
      </c>
      <c r="J12" s="8"/>
    </row>
    <row r="13" spans="1:10" x14ac:dyDescent="0.2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9" t="s">
        <v>30</v>
      </c>
      <c r="G13" s="9" t="str">
        <v>25</v>
      </c>
      <c r="H13" s="9" t="str">
        <v>AU</v>
      </c>
      <c r="I13" s="9" t="str">
        <v>NOV</v>
      </c>
      <c r="J13" s="8"/>
    </row>
    <row r="14" spans="1:10" x14ac:dyDescent="0.2">
      <c r="A14" s="8" t="s">
        <v>60</v>
      </c>
      <c r="B14" s="8" t="s">
        <v>32</v>
      </c>
      <c r="C14" s="8" t="s">
        <v>61</v>
      </c>
      <c r="D14" s="8">
        <v>120</v>
      </c>
      <c r="E14" s="8">
        <v>35</v>
      </c>
      <c r="F14" s="8" t="s">
        <v>34</v>
      </c>
      <c r="G14" s="8" t="str">
        <v>08</v>
      </c>
      <c r="H14" s="8" t="str">
        <v>DE</v>
      </c>
      <c r="I14" s="8" t="str">
        <v>DEC</v>
      </c>
      <c r="J14" s="8"/>
    </row>
    <row r="15" spans="1:10" x14ac:dyDescent="0.2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9" t="s">
        <v>26</v>
      </c>
      <c r="G15" s="9" t="str">
        <v>18</v>
      </c>
      <c r="H15" s="9" t="str">
        <v>CA</v>
      </c>
      <c r="I15" s="9" t="str">
        <v>FEB</v>
      </c>
      <c r="J15" s="8"/>
    </row>
    <row r="16" spans="1:10" x14ac:dyDescent="0.2">
      <c r="A16" s="8" t="s">
        <v>65</v>
      </c>
      <c r="B16" s="8" t="s">
        <v>43</v>
      </c>
      <c r="C16" s="8" t="s">
        <v>66</v>
      </c>
      <c r="D16" s="8">
        <v>250</v>
      </c>
      <c r="E16" s="8">
        <v>20</v>
      </c>
      <c r="F16" s="8" t="s">
        <v>26</v>
      </c>
      <c r="G16" s="8" t="str">
        <v>16</v>
      </c>
      <c r="H16" s="8" t="str">
        <v>ES</v>
      </c>
      <c r="I16" s="8" t="str">
        <v>APR</v>
      </c>
      <c r="J16" s="8"/>
    </row>
    <row r="17" spans="1:10" x14ac:dyDescent="0.2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9" t="s">
        <v>70</v>
      </c>
      <c r="G17" s="9" t="str">
        <v>21</v>
      </c>
      <c r="H17" s="9" t="str">
        <v>CA</v>
      </c>
      <c r="I17" s="9" t="str">
        <v>AUG</v>
      </c>
      <c r="J17" s="8"/>
    </row>
    <row r="18" spans="1:10" x14ac:dyDescent="0.2">
      <c r="A18" s="8" t="s">
        <v>71</v>
      </c>
      <c r="B18" s="8" t="s">
        <v>63</v>
      </c>
      <c r="C18" s="8" t="s">
        <v>72</v>
      </c>
      <c r="D18" s="8">
        <v>160</v>
      </c>
      <c r="E18" s="8">
        <v>15</v>
      </c>
      <c r="F18" s="8" t="s">
        <v>26</v>
      </c>
      <c r="G18" s="8" t="str">
        <v>20</v>
      </c>
      <c r="H18" s="8" t="str">
        <v>CN</v>
      </c>
      <c r="I18" s="8" t="str">
        <v>AUG</v>
      </c>
      <c r="J18" s="8"/>
    </row>
    <row r="19" spans="1:10" x14ac:dyDescent="0.2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9" t="s">
        <v>26</v>
      </c>
      <c r="G19" s="9" t="str">
        <v>27</v>
      </c>
      <c r="H19" s="9" t="str">
        <v>IT</v>
      </c>
      <c r="I19" s="9" t="str">
        <v>JAN</v>
      </c>
      <c r="J19" s="8"/>
    </row>
    <row r="20" spans="1:10" x14ac:dyDescent="0.2">
      <c r="A20" s="8" t="s">
        <v>75</v>
      </c>
      <c r="B20" s="8" t="s">
        <v>76</v>
      </c>
      <c r="C20" s="8" t="s">
        <v>77</v>
      </c>
      <c r="D20" s="8">
        <v>150</v>
      </c>
      <c r="E20" s="8">
        <v>15</v>
      </c>
      <c r="F20" s="8" t="s">
        <v>30</v>
      </c>
      <c r="G20" s="8" t="str">
        <v>01</v>
      </c>
      <c r="H20" s="8" t="str">
        <v>UK</v>
      </c>
      <c r="I20" s="8" t="str">
        <v>MAR</v>
      </c>
      <c r="J20" s="8"/>
    </row>
    <row r="21" spans="1:10" x14ac:dyDescent="0.2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9" t="s">
        <v>41</v>
      </c>
      <c r="G21" s="9" t="str">
        <v>14</v>
      </c>
      <c r="H21" s="9" t="str">
        <v>US</v>
      </c>
      <c r="I21" s="9" t="str">
        <v>AUG</v>
      </c>
      <c r="J21" s="8"/>
    </row>
    <row r="22" spans="1:10" x14ac:dyDescent="0.2">
      <c r="A22" s="8" t="s">
        <v>81</v>
      </c>
      <c r="B22" s="8" t="s">
        <v>82</v>
      </c>
      <c r="C22" s="8" t="s">
        <v>83</v>
      </c>
      <c r="D22" s="8">
        <v>700</v>
      </c>
      <c r="E22" s="8">
        <v>50</v>
      </c>
      <c r="F22" s="8" t="s">
        <v>26</v>
      </c>
      <c r="G22" s="8" t="str">
        <v>14</v>
      </c>
      <c r="H22" s="8" t="str">
        <v>RU</v>
      </c>
      <c r="I22" s="8" t="str">
        <v>MAY</v>
      </c>
      <c r="J22" s="8"/>
    </row>
    <row r="23" spans="1:10" x14ac:dyDescent="0.2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9" t="s">
        <v>34</v>
      </c>
      <c r="G23" s="9" t="str">
        <v>09</v>
      </c>
      <c r="H23" s="9" t="str">
        <v>CA</v>
      </c>
      <c r="I23" s="9" t="str">
        <v>JAN</v>
      </c>
      <c r="J23" s="8"/>
    </row>
    <row r="24" spans="1:10" x14ac:dyDescent="0.2">
      <c r="A24" s="8" t="s">
        <v>87</v>
      </c>
      <c r="B24" s="8" t="s">
        <v>88</v>
      </c>
      <c r="C24" s="8" t="s">
        <v>89</v>
      </c>
      <c r="D24" s="8">
        <v>150</v>
      </c>
      <c r="E24" s="8">
        <v>30</v>
      </c>
      <c r="F24" s="8" t="s">
        <v>26</v>
      </c>
      <c r="G24" s="8" t="str">
        <v>19</v>
      </c>
      <c r="H24" s="8" t="str">
        <v>BR</v>
      </c>
      <c r="I24" s="8" t="str">
        <v>JUL</v>
      </c>
      <c r="J24" s="8"/>
    </row>
    <row r="25" spans="1:10" x14ac:dyDescent="0.2">
      <c r="A25" s="9" t="s">
        <v>67</v>
      </c>
      <c r="B25" s="9" t="s">
        <v>68</v>
      </c>
      <c r="C25" s="9" t="s">
        <v>69</v>
      </c>
      <c r="D25" s="9">
        <v>50</v>
      </c>
      <c r="E25" s="9">
        <v>35</v>
      </c>
      <c r="F25" s="9" t="s">
        <v>70</v>
      </c>
      <c r="G25" s="9" t="str">
        <v>21</v>
      </c>
      <c r="H25" s="9" t="str">
        <v>CA</v>
      </c>
      <c r="I25" s="9" t="str">
        <v>AUG</v>
      </c>
      <c r="J25" s="8"/>
    </row>
    <row r="26" spans="1:10" x14ac:dyDescent="0.2">
      <c r="A26" s="8" t="s">
        <v>90</v>
      </c>
      <c r="B26" s="8" t="s">
        <v>36</v>
      </c>
      <c r="C26" s="8" t="s">
        <v>91</v>
      </c>
      <c r="D26" s="8">
        <v>800</v>
      </c>
      <c r="E26" s="8">
        <v>45</v>
      </c>
      <c r="F26" s="8" t="s">
        <v>26</v>
      </c>
      <c r="G26" s="8" t="str">
        <v>29</v>
      </c>
      <c r="H26" s="8" t="str">
        <v>CA</v>
      </c>
      <c r="I26" s="8" t="str">
        <v>SEP</v>
      </c>
      <c r="J26" s="8"/>
    </row>
    <row r="27" spans="1:10" x14ac:dyDescent="0.2">
      <c r="A27" s="9" t="s">
        <v>92</v>
      </c>
      <c r="B27" s="9" t="s">
        <v>76</v>
      </c>
      <c r="C27" s="9" t="s">
        <v>93</v>
      </c>
      <c r="D27" s="9">
        <v>130</v>
      </c>
      <c r="E27" s="9">
        <v>25</v>
      </c>
      <c r="F27" s="9" t="s">
        <v>30</v>
      </c>
      <c r="G27" s="9" t="str">
        <v>03</v>
      </c>
      <c r="H27" s="9" t="str">
        <v>CA</v>
      </c>
      <c r="I27" s="9" t="str">
        <v>JUN</v>
      </c>
      <c r="J27" s="8"/>
    </row>
    <row r="28" spans="1:10" x14ac:dyDescent="0.2">
      <c r="A28" s="8" t="s">
        <v>94</v>
      </c>
      <c r="B28" s="8" t="s">
        <v>49</v>
      </c>
      <c r="C28" s="8" t="s">
        <v>95</v>
      </c>
      <c r="D28" s="8">
        <v>400</v>
      </c>
      <c r="E28" s="8">
        <v>40</v>
      </c>
      <c r="F28" s="8" t="s">
        <v>34</v>
      </c>
      <c r="G28" s="8" t="str">
        <v>11</v>
      </c>
      <c r="H28" s="8" t="str">
        <v>CA</v>
      </c>
      <c r="I28" s="8" t="str">
        <v>JUL</v>
      </c>
      <c r="J28" s="8"/>
    </row>
    <row r="29" spans="1:10" x14ac:dyDescent="0.2">
      <c r="A29" s="9" t="s">
        <v>65</v>
      </c>
      <c r="B29" s="9" t="s">
        <v>43</v>
      </c>
      <c r="C29" s="9" t="s">
        <v>66</v>
      </c>
      <c r="D29" s="9">
        <v>230</v>
      </c>
      <c r="E29" s="9">
        <v>20</v>
      </c>
      <c r="F29" s="9" t="s">
        <v>26</v>
      </c>
      <c r="G29" s="9" t="str">
        <v>16</v>
      </c>
      <c r="H29" s="9" t="str">
        <v>ES</v>
      </c>
      <c r="I29" s="9" t="str">
        <v>APR</v>
      </c>
      <c r="J29" s="8"/>
    </row>
    <row r="30" spans="1:10" x14ac:dyDescent="0.2">
      <c r="A30" s="8" t="s">
        <v>96</v>
      </c>
      <c r="B30" s="8" t="s">
        <v>97</v>
      </c>
      <c r="C30" s="8" t="s">
        <v>98</v>
      </c>
      <c r="D30" s="8">
        <v>60</v>
      </c>
      <c r="E30" s="8">
        <v>30</v>
      </c>
      <c r="F30" s="8" t="s">
        <v>30</v>
      </c>
      <c r="G30" s="8" t="str">
        <v>07</v>
      </c>
      <c r="H30" s="8" t="str">
        <v>CA</v>
      </c>
      <c r="I30" s="8" t="str">
        <v>MAR</v>
      </c>
      <c r="J30" s="8"/>
    </row>
    <row r="31" spans="1:10" x14ac:dyDescent="0.2">
      <c r="A31" s="9" t="s">
        <v>99</v>
      </c>
      <c r="B31" s="9" t="s">
        <v>100</v>
      </c>
      <c r="C31" s="9" t="s">
        <v>101</v>
      </c>
      <c r="D31" s="9">
        <v>40</v>
      </c>
      <c r="E31" s="9">
        <v>10</v>
      </c>
      <c r="F31" s="9" t="s">
        <v>34</v>
      </c>
      <c r="G31" s="9" t="str">
        <v>13</v>
      </c>
      <c r="H31" s="9" t="str">
        <v>CA</v>
      </c>
      <c r="I31" s="9" t="str">
        <v>APR</v>
      </c>
      <c r="J31" s="8"/>
    </row>
    <row r="32" spans="1:10" x14ac:dyDescent="0.2">
      <c r="A32" s="8" t="s">
        <v>102</v>
      </c>
      <c r="B32" s="8" t="s">
        <v>88</v>
      </c>
      <c r="C32" s="8" t="s">
        <v>103</v>
      </c>
      <c r="D32" s="8">
        <v>130</v>
      </c>
      <c r="E32" s="8">
        <v>5</v>
      </c>
      <c r="F32" s="8" t="s">
        <v>26</v>
      </c>
      <c r="G32" s="8" t="str">
        <v>24</v>
      </c>
      <c r="H32" s="8" t="str">
        <v>CA</v>
      </c>
      <c r="I32" s="8" t="str">
        <v>MAY</v>
      </c>
      <c r="J32" s="8"/>
    </row>
    <row r="33" spans="1:10" x14ac:dyDescent="0.2">
      <c r="A33" s="9" t="s">
        <v>104</v>
      </c>
      <c r="B33" s="9" t="s">
        <v>105</v>
      </c>
      <c r="C33" s="9" t="s">
        <v>106</v>
      </c>
      <c r="D33" s="9">
        <v>50</v>
      </c>
      <c r="E33" s="9">
        <v>50</v>
      </c>
      <c r="F33" s="9" t="s">
        <v>30</v>
      </c>
      <c r="G33" s="9" t="str">
        <v>02</v>
      </c>
      <c r="H33" s="9" t="str">
        <v>CA</v>
      </c>
      <c r="I33" s="9" t="str">
        <v>DEC</v>
      </c>
      <c r="J33" s="8"/>
    </row>
    <row r="34" spans="1:10" x14ac:dyDescent="0.2">
      <c r="A34" s="8" t="s">
        <v>57</v>
      </c>
      <c r="B34" s="8" t="s">
        <v>24</v>
      </c>
      <c r="C34" s="8" t="s">
        <v>58</v>
      </c>
      <c r="D34" s="8">
        <v>950</v>
      </c>
      <c r="E34" s="8">
        <v>25</v>
      </c>
      <c r="F34" s="8" t="s">
        <v>26</v>
      </c>
      <c r="G34" s="8" t="str">
        <v>17</v>
      </c>
      <c r="H34" s="8" t="str">
        <v>IN</v>
      </c>
      <c r="I34" s="8" t="str">
        <v>JUN</v>
      </c>
      <c r="J34" s="8"/>
    </row>
    <row r="35" spans="1:10" x14ac:dyDescent="0.2">
      <c r="A35" s="9" t="s">
        <v>107</v>
      </c>
      <c r="B35" s="9" t="s">
        <v>108</v>
      </c>
      <c r="C35" s="9" t="s">
        <v>109</v>
      </c>
      <c r="D35" s="9">
        <v>100</v>
      </c>
      <c r="E35" s="9">
        <v>20</v>
      </c>
      <c r="F35" s="9" t="s">
        <v>70</v>
      </c>
      <c r="G35" s="9" t="str">
        <v>09</v>
      </c>
      <c r="H35" s="9" t="str">
        <v>FR</v>
      </c>
      <c r="I35" s="9" t="str">
        <v>JUL</v>
      </c>
      <c r="J3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Dataset</vt:lpstr>
      <vt:lpstr>SUM,AVERAGE,COUNT</vt:lpstr>
      <vt:lpstr>MIN,MAX</vt:lpstr>
      <vt:lpstr>IF FUNCTION</vt:lpstr>
      <vt:lpstr>SUMIF,COUNTIF</vt:lpstr>
      <vt:lpstr>TEXT FORMATING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ashith hariharan</cp:lastModifiedBy>
  <dcterms:modified xsi:type="dcterms:W3CDTF">2026-09-15T09:01:49Z</dcterms:modified>
</cp:coreProperties>
</file>